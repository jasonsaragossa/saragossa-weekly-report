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Howlin\Downloads\"/>
    </mc:Choice>
  </mc:AlternateContent>
  <xr:revisionPtr revIDLastSave="0" documentId="13_ncr:1_{F729CC69-E9A0-4BD0-A378-5AE35AD08A64}" xr6:coauthVersionLast="47" xr6:coauthVersionMax="47" xr10:uidLastSave="{00000000-0000-0000-0000-000000000000}"/>
  <bookViews>
    <workbookView xWindow="-120" yWindow="-120" windowWidth="29040" windowHeight="17520" xr2:uid="{C990990D-D588-4527-983B-3054C0C521B8}"/>
  </bookViews>
  <sheets>
    <sheet name="Contract Performance" sheetId="1" r:id="rId1"/>
    <sheet name="Perm Performance" sheetId="9" r:id="rId2"/>
    <sheet name="WNF Tracker" sheetId="4" r:id="rId3"/>
    <sheet name="People" sheetId="2" r:id="rId4"/>
    <sheet name="Deal Tracker" sheetId="7" r:id="rId5"/>
    <sheet name="Deal Tracker Perm" sheetId="8" r:id="rId6"/>
    <sheet name="Customer Review" sheetId="6" r:id="rId7"/>
  </sheets>
  <definedNames>
    <definedName name="_xlnm._FilterDatabase" localSheetId="4" hidden="1">'Deal Tracker'!$A$1:$H$1</definedName>
    <definedName name="_xlnm._FilterDatabase" localSheetId="5" hidden="1">'Deal Tracker Perm'!$A$1:$D$1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<sst xmlns="http://schemas.openxmlformats.org/spreadsheetml/2006/main" count="131" uniqueCount="131">
  <si>
    <t>Team Book</t>
  </si>
  <si>
    <t>2025 Averages</t>
  </si>
  <si>
    <t>P1</t>
  </si>
  <si>
    <t>P2</t>
  </si>
  <si>
    <t>P3</t>
  </si>
  <si>
    <t>Q1 Avg</t>
  </si>
  <si>
    <t>P4</t>
  </si>
  <si>
    <t xml:space="preserve">P5 </t>
  </si>
  <si>
    <t>P6</t>
  </si>
  <si>
    <t>Q2 Avg</t>
  </si>
  <si>
    <t>H1 Avg</t>
  </si>
  <si>
    <t>P7</t>
  </si>
  <si>
    <t>P8</t>
  </si>
  <si>
    <t>P9</t>
  </si>
  <si>
    <t>Q3 Avg</t>
  </si>
  <si>
    <t>P10</t>
  </si>
  <si>
    <t>P11</t>
  </si>
  <si>
    <t>P12</t>
  </si>
  <si>
    <t>Q4 Avg</t>
  </si>
  <si>
    <t>H2 Avg</t>
  </si>
  <si>
    <t>Annualised Avg</t>
  </si>
  <si>
    <t>NFI (Month)</t>
  </si>
  <si>
    <t>NFI (Budget)</t>
  </si>
  <si>
    <t>% Achievement</t>
  </si>
  <si>
    <t>Runners out</t>
  </si>
  <si>
    <t>Runners out (budget)</t>
  </si>
  <si>
    <t>NFI per fee earner</t>
  </si>
  <si>
    <t>NFI per fee earner (budget)</t>
  </si>
  <si>
    <t>HC</t>
  </si>
  <si>
    <t>TRWNF last day of period</t>
  </si>
  <si>
    <t># of runners</t>
  </si>
  <si>
    <t>TRWNF per head</t>
  </si>
  <si>
    <t>Avg WNF of runner book</t>
  </si>
  <si>
    <t>Extension % in month</t>
  </si>
  <si>
    <t># of terminations in month</t>
  </si>
  <si>
    <t>Value of terminations in month</t>
  </si>
  <si>
    <t>TRWNF PREDICTION</t>
  </si>
  <si>
    <t># of starters next month</t>
  </si>
  <si>
    <t>Starters next month total WNF</t>
  </si>
  <si>
    <t># of finishers next month</t>
  </si>
  <si>
    <t>Total finishers next month WNF</t>
  </si>
  <si>
    <t>Expected finisher # - All no, unsure, update required</t>
  </si>
  <si>
    <t># of actual finishers in month</t>
  </si>
  <si>
    <t>Actual finishers in month WNF</t>
  </si>
  <si>
    <t>Extension % in coming month</t>
  </si>
  <si>
    <t>Finisher %</t>
  </si>
  <si>
    <t>Team Deals</t>
  </si>
  <si>
    <t>Number of deals</t>
  </si>
  <si>
    <t>NDWNF added</t>
  </si>
  <si>
    <t>Average WNF of new deals</t>
  </si>
  <si>
    <t>DPH</t>
  </si>
  <si>
    <t>NDWNF per head</t>
  </si>
  <si>
    <t>Average margin of new deals</t>
  </si>
  <si>
    <t>Average length of contract (weeks)</t>
  </si>
  <si>
    <t>Number of clients placed with</t>
  </si>
  <si>
    <t>.</t>
  </si>
  <si>
    <t>Team Interviews</t>
  </si>
  <si>
    <t>Number of interviews</t>
  </si>
  <si>
    <t>Number of unique interviews</t>
  </si>
  <si>
    <t>Number of JMIs</t>
  </si>
  <si>
    <t>IV:Placement ratio</t>
  </si>
  <si>
    <t>Unique IV: Placement ratio</t>
  </si>
  <si>
    <t>CV:Interview ratio</t>
  </si>
  <si>
    <t>Number of jobs w/ IV</t>
  </si>
  <si>
    <t>Number of clients w/ IV</t>
  </si>
  <si>
    <t>CV Submissions</t>
  </si>
  <si>
    <t>Team Jobs</t>
  </si>
  <si>
    <t>A jobs</t>
  </si>
  <si>
    <t>B jobs</t>
  </si>
  <si>
    <t>C jobs</t>
  </si>
  <si>
    <t>Total Added</t>
  </si>
  <si>
    <t>Number of clients with jobs</t>
  </si>
  <si>
    <t>% of A</t>
  </si>
  <si>
    <t>A-C jobs per head</t>
  </si>
  <si>
    <t>Jobs: placement ratio</t>
  </si>
  <si>
    <t>A jobs: placement ratio</t>
  </si>
  <si>
    <t>B jobs: placement ratio</t>
  </si>
  <si>
    <t>F jobs</t>
  </si>
  <si>
    <t>P jobs</t>
  </si>
  <si>
    <t>Total pipelined</t>
  </si>
  <si>
    <t>Jobs filled A</t>
  </si>
  <si>
    <t>Jobs filled B</t>
  </si>
  <si>
    <t>A jobs % of placements</t>
  </si>
  <si>
    <t>B jobs % of placements</t>
  </si>
  <si>
    <t>A jobs carried into period</t>
  </si>
  <si>
    <t>B jobs carried into period</t>
  </si>
  <si>
    <t>Total jobs carried</t>
  </si>
  <si>
    <t>Team Meetings</t>
  </si>
  <si>
    <t>Client meetings</t>
  </si>
  <si>
    <t>Client meetings p/h</t>
  </si>
  <si>
    <t>Client meetings personally</t>
  </si>
  <si>
    <t>Team Activity Drivers</t>
  </si>
  <si>
    <t>Candidate calls</t>
  </si>
  <si>
    <t>Contractor leads pulled</t>
  </si>
  <si>
    <t>Manager referral names pulled</t>
  </si>
  <si>
    <t>% intel gained</t>
  </si>
  <si>
    <t>BD calls</t>
  </si>
  <si>
    <t>Pitch Delivered</t>
  </si>
  <si>
    <t>% of BD calls turn to pitch</t>
  </si>
  <si>
    <t>Emails Sent</t>
  </si>
  <si>
    <t>Team Customers</t>
  </si>
  <si>
    <t>New customers w/ placements done</t>
  </si>
  <si>
    <t>New customers w/ A,B,C,F,P jobs added</t>
  </si>
  <si>
    <t>New customers w/ meetings booked</t>
  </si>
  <si>
    <t>Financial Performance</t>
  </si>
  <si>
    <t>Deals started</t>
  </si>
  <si>
    <t>Deals started (budget)</t>
  </si>
  <si>
    <t>Total fees</t>
  </si>
  <si>
    <t>Average fee size</t>
  </si>
  <si>
    <t>Fees per head</t>
  </si>
  <si>
    <t>% of commitment</t>
  </si>
  <si>
    <t>C jobs: placement ratio</t>
  </si>
  <si>
    <t>Closing WNF in Period</t>
  </si>
  <si>
    <t>Consultant</t>
  </si>
  <si>
    <t>December Finish</t>
  </si>
  <si>
    <t>Period/ WNF added</t>
  </si>
  <si>
    <t>Month</t>
  </si>
  <si>
    <t>Client</t>
  </si>
  <si>
    <t>Candidate</t>
  </si>
  <si>
    <t>WNF Value</t>
  </si>
  <si>
    <t>Margin</t>
  </si>
  <si>
    <t>Duration (weeks)</t>
  </si>
  <si>
    <t>Total Net Fees</t>
  </si>
  <si>
    <t>Value</t>
  </si>
  <si>
    <t>Regional Split</t>
  </si>
  <si>
    <t>Location</t>
  </si>
  <si>
    <t>Start Date</t>
  </si>
  <si>
    <t>Exchange Rate on Regional split if applicable</t>
  </si>
  <si>
    <t>TOTAL FOR PNL</t>
  </si>
  <si>
    <t>Strategic</t>
  </si>
  <si>
    <t>&gt; £2k+ running &amp; expecting £1k+ growth in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</si>
</sst>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£&quot;#,##0;[Red]\-&quot;£&quot;#,##0"/>
    <numFmt numFmtId="8" formatCode="&quot;£&quot;#,##0.00;[Red]\-&quot;£&quot;#,##0.00"/>
    <numFmt numFmtId="43" formatCode="_-* #,##0.00_-;\-* #,##0.00_-;_-* &quot;-&quot;??_-;_-@_-"/>
    <numFmt numFmtId="164" formatCode="&quot;£&quot;#,##0.00"/>
    <numFmt numFmtId="165" formatCode="&quot;£&quot;#,##0"/>
    <numFmt numFmtId="166" formatCode="0.0"/>
    <numFmt numFmtId="167" formatCode="_(&quot;$&quot;* #,##0.00_);_(&quot;$&quot;* \(#,##0.00\);_(&quot;$&quot;* &quot;-&quot;??_);_(@_)"/>
    <numFmt numFmtId="168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0" fontId="9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0"/>
  </cellStyleXfs>
  <cellXfs count="33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3" borderId="11" xfId="0" applyFill="1" applyBorder="1"/>
    <xf numFmtId="0" fontId="0" fillId="0" borderId="16" xfId="0" applyBorder="1"/>
    <xf numFmtId="0" fontId="0" fillId="0" borderId="17" xfId="0" applyBorder="1"/>
    <xf numFmtId="0" fontId="0" fillId="2" borderId="17" xfId="0" applyFill="1" applyBorder="1"/>
    <xf numFmtId="0" fontId="0" fillId="2" borderId="8" xfId="0" applyFill="1" applyBorder="1"/>
    <xf numFmtId="0" fontId="0" fillId="4" borderId="17" xfId="0" applyFill="1" applyBorder="1"/>
    <xf numFmtId="0" fontId="0" fillId="4" borderId="1" xfId="0" applyFill="1" applyBorder="1"/>
    <xf numFmtId="0" fontId="0" fillId="4" borderId="8" xfId="0" applyFill="1" applyBorder="1"/>
    <xf numFmtId="0" fontId="0" fillId="4" borderId="3" xfId="0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5" borderId="15" xfId="0" applyFont="1" applyFill="1" applyBorder="1"/>
    <xf numFmtId="0" fontId="0" fillId="3" borderId="10" xfId="0" applyFill="1" applyBorder="1"/>
    <xf numFmtId="0" fontId="0" fillId="0" borderId="2" xfId="0" applyBorder="1"/>
    <xf numFmtId="0" fontId="2" fillId="2" borderId="2" xfId="0" applyFont="1" applyFill="1" applyBorder="1"/>
    <xf numFmtId="0" fontId="4" fillId="2" borderId="2" xfId="0" applyFont="1" applyFill="1" applyBorder="1"/>
    <xf numFmtId="0" fontId="4" fillId="2" borderId="13" xfId="0" applyFont="1" applyFill="1" applyBorder="1"/>
    <xf numFmtId="0" fontId="1" fillId="4" borderId="14" xfId="0" applyFont="1" applyFill="1" applyBorder="1"/>
    <xf numFmtId="0" fontId="4" fillId="0" borderId="0" xfId="0" applyFont="1"/>
    <xf numFmtId="0" fontId="0" fillId="3" borderId="19" xfId="0" applyFill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3" fillId="4" borderId="1" xfId="0" applyNumberFormat="1" applyFont="1" applyFill="1" applyBorder="1"/>
    <xf numFmtId="164" fontId="0" fillId="5" borderId="6" xfId="0" applyNumberFormat="1" applyFill="1" applyBorder="1"/>
    <xf numFmtId="164" fontId="0" fillId="0" borderId="8" xfId="0" applyNumberFormat="1" applyBorder="1"/>
    <xf numFmtId="164" fontId="0" fillId="2" borderId="8" xfId="0" applyNumberFormat="1" applyFill="1" applyBorder="1"/>
    <xf numFmtId="164" fontId="3" fillId="4" borderId="8" xfId="0" applyNumberFormat="1" applyFont="1" applyFill="1" applyBorder="1"/>
    <xf numFmtId="164" fontId="0" fillId="5" borderId="9" xfId="0" applyNumberFormat="1" applyFill="1" applyBorder="1"/>
    <xf numFmtId="165" fontId="0" fillId="0" borderId="1" xfId="0" applyNumberFormat="1" applyBorder="1"/>
    <xf numFmtId="165" fontId="0" fillId="2" borderId="1" xfId="0" applyNumberFormat="1" applyFill="1" applyBorder="1"/>
    <xf numFmtId="165" fontId="0" fillId="4" borderId="1" xfId="0" applyNumberFormat="1" applyFill="1" applyBorder="1"/>
    <xf numFmtId="165" fontId="0" fillId="5" borderId="6" xfId="0" applyNumberFormat="1" applyFill="1" applyBorder="1"/>
    <xf numFmtId="9" fontId="0" fillId="0" borderId="1" xfId="0" applyNumberFormat="1" applyBorder="1"/>
    <xf numFmtId="9" fontId="0" fillId="2" borderId="1" xfId="0" applyNumberFormat="1" applyFill="1" applyBorder="1"/>
    <xf numFmtId="0" fontId="2" fillId="2" borderId="5" xfId="0" applyFont="1" applyFill="1" applyBorder="1"/>
    <xf numFmtId="0" fontId="2" fillId="2" borderId="7" xfId="0" applyFont="1" applyFill="1" applyBorder="1"/>
    <xf numFmtId="165" fontId="0" fillId="0" borderId="3" xfId="0" applyNumberFormat="1" applyBorder="1"/>
    <xf numFmtId="165" fontId="0" fillId="2" borderId="3" xfId="0" applyNumberFormat="1" applyFill="1" applyBorder="1"/>
    <xf numFmtId="165" fontId="0" fillId="4" borderId="3" xfId="0" applyNumberFormat="1" applyFill="1" applyBorder="1"/>
    <xf numFmtId="165" fontId="0" fillId="0" borderId="8" xfId="0" applyNumberFormat="1" applyBorder="1"/>
    <xf numFmtId="165" fontId="0" fillId="2" borderId="8" xfId="0" applyNumberFormat="1" applyFill="1" applyBorder="1"/>
    <xf numFmtId="165" fontId="0" fillId="4" borderId="8" xfId="0" applyNumberFormat="1" applyFill="1" applyBorder="1"/>
    <xf numFmtId="10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3" fontId="0" fillId="2" borderId="1" xfId="0" applyNumberFormat="1" applyFill="1" applyBorder="1"/>
    <xf numFmtId="0" fontId="4" fillId="2" borderId="16" xfId="0" applyFont="1" applyFill="1" applyBorder="1"/>
    <xf numFmtId="0" fontId="0" fillId="0" borderId="20" xfId="0" applyBorder="1"/>
    <xf numFmtId="3" fontId="0" fillId="2" borderId="17" xfId="0" applyNumberFormat="1" applyFill="1" applyBorder="1"/>
    <xf numFmtId="0" fontId="0" fillId="3" borderId="21" xfId="0" applyFill="1" applyBorder="1"/>
    <xf numFmtId="0" fontId="0" fillId="3" borderId="22" xfId="0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2" fontId="0" fillId="2" borderId="17" xfId="0" applyNumberFormat="1" applyFill="1" applyBorder="1"/>
    <xf numFmtId="2" fontId="0" fillId="2" borderId="1" xfId="0" applyNumberFormat="1" applyFill="1" applyBorder="1"/>
    <xf numFmtId="2" fontId="0" fillId="3" borderId="23" xfId="0" applyNumberFormat="1" applyFill="1" applyBorder="1"/>
    <xf numFmtId="10" fontId="0" fillId="2" borderId="17" xfId="0" applyNumberFormat="1" applyFill="1" applyBorder="1"/>
    <xf numFmtId="0" fontId="0" fillId="9" borderId="0" xfId="0" applyFill="1"/>
    <xf numFmtId="6" fontId="0" fillId="0" borderId="0" xfId="0" applyNumberFormat="1"/>
    <xf numFmtId="2" fontId="0" fillId="4" borderId="17" xfId="0" applyNumberFormat="1" applyFill="1" applyBorder="1"/>
    <xf numFmtId="10" fontId="0" fillId="4" borderId="17" xfId="0" applyNumberFormat="1" applyFill="1" applyBorder="1"/>
    <xf numFmtId="2" fontId="2" fillId="5" borderId="15" xfId="0" applyNumberFormat="1" applyFont="1" applyFill="1" applyBorder="1"/>
    <xf numFmtId="2" fontId="0" fillId="5" borderId="18" xfId="0" applyNumberFormat="1" applyFill="1" applyBorder="1"/>
    <xf numFmtId="2" fontId="0" fillId="0" borderId="0" xfId="0" applyNumberFormat="1"/>
    <xf numFmtId="0" fontId="0" fillId="0" borderId="25" xfId="0" applyBorder="1"/>
    <xf numFmtId="164" fontId="0" fillId="0" borderId="20" xfId="0" applyNumberFormat="1" applyBorder="1"/>
    <xf numFmtId="2" fontId="0" fillId="2" borderId="11" xfId="0" applyNumberFormat="1" applyFill="1" applyBorder="1"/>
    <xf numFmtId="2" fontId="0" fillId="4" borderId="11" xfId="0" applyNumberFormat="1" applyFill="1" applyBorder="1"/>
    <xf numFmtId="2" fontId="0" fillId="5" borderId="12" xfId="0" applyNumberFormat="1" applyFill="1" applyBorder="1"/>
    <xf numFmtId="2" fontId="0" fillId="2" borderId="20" xfId="0" applyNumberFormat="1" applyFill="1" applyBorder="1"/>
    <xf numFmtId="9" fontId="0" fillId="0" borderId="20" xfId="0" applyNumberFormat="1" applyBorder="1"/>
    <xf numFmtId="10" fontId="0" fillId="0" borderId="20" xfId="0" applyNumberFormat="1" applyBorder="1"/>
    <xf numFmtId="10" fontId="0" fillId="4" borderId="11" xfId="0" applyNumberFormat="1" applyFill="1" applyBorder="1"/>
    <xf numFmtId="9" fontId="0" fillId="0" borderId="17" xfId="0" applyNumberFormat="1" applyBorder="1"/>
    <xf numFmtId="165" fontId="0" fillId="0" borderId="17" xfId="0" applyNumberFormat="1" applyBorder="1"/>
    <xf numFmtId="0" fontId="0" fillId="3" borderId="13" xfId="0" applyFill="1" applyBorder="1"/>
    <xf numFmtId="0" fontId="0" fillId="3" borderId="14" xfId="0" applyFill="1" applyBorder="1"/>
    <xf numFmtId="3" fontId="0" fillId="3" borderId="14" xfId="0" applyNumberFormat="1" applyFill="1" applyBorder="1"/>
    <xf numFmtId="2" fontId="0" fillId="3" borderId="14" xfId="0" applyNumberFormat="1" applyFill="1" applyBorder="1"/>
    <xf numFmtId="2" fontId="0" fillId="3" borderId="15" xfId="0" applyNumberFormat="1" applyFill="1" applyBorder="1"/>
    <xf numFmtId="2" fontId="0" fillId="3" borderId="22" xfId="0" applyNumberFormat="1" applyFill="1" applyBorder="1"/>
    <xf numFmtId="9" fontId="0" fillId="2" borderId="20" xfId="0" applyNumberFormat="1" applyFill="1" applyBorder="1"/>
    <xf numFmtId="9" fontId="0" fillId="2" borderId="17" xfId="0" applyNumberFormat="1" applyFill="1" applyBorder="1"/>
    <xf numFmtId="0" fontId="5" fillId="2" borderId="16" xfId="0" applyFont="1" applyFill="1" applyBorder="1"/>
    <xf numFmtId="0" fontId="0" fillId="3" borderId="24" xfId="0" applyFill="1" applyBorder="1"/>
    <xf numFmtId="10" fontId="0" fillId="5" borderId="18" xfId="0" applyNumberFormat="1" applyFill="1" applyBorder="1"/>
    <xf numFmtId="10" fontId="0" fillId="5" borderId="12" xfId="0" applyNumberFormat="1" applyFill="1" applyBorder="1"/>
    <xf numFmtId="2" fontId="2" fillId="2" borderId="14" xfId="0" applyNumberFormat="1" applyFont="1" applyFill="1" applyBorder="1"/>
    <xf numFmtId="10" fontId="0" fillId="2" borderId="1" xfId="0" applyNumberFormat="1" applyFill="1" applyBorder="1"/>
    <xf numFmtId="10" fontId="0" fillId="2" borderId="20" xfId="0" applyNumberFormat="1" applyFill="1" applyBorder="1"/>
    <xf numFmtId="0" fontId="0" fillId="3" borderId="0" xfId="0" applyFill="1"/>
    <xf numFmtId="0" fontId="4" fillId="2" borderId="26" xfId="0" applyFont="1" applyFill="1" applyBorder="1"/>
    <xf numFmtId="0" fontId="2" fillId="2" borderId="29" xfId="0" applyFont="1" applyFill="1" applyBorder="1"/>
    <xf numFmtId="0" fontId="0" fillId="6" borderId="17" xfId="0" applyFill="1" applyBorder="1"/>
    <xf numFmtId="165" fontId="0" fillId="6" borderId="1" xfId="0" applyNumberFormat="1" applyFill="1" applyBorder="1"/>
    <xf numFmtId="165" fontId="0" fillId="6" borderId="3" xfId="0" applyNumberFormat="1" applyFill="1" applyBorder="1"/>
    <xf numFmtId="165" fontId="0" fillId="6" borderId="8" xfId="0" applyNumberFormat="1" applyFill="1" applyBorder="1"/>
    <xf numFmtId="0" fontId="0" fillId="6" borderId="3" xfId="0" applyFill="1" applyBorder="1"/>
    <xf numFmtId="0" fontId="0" fillId="6" borderId="8" xfId="0" applyFill="1" applyBorder="1"/>
    <xf numFmtId="165" fontId="3" fillId="4" borderId="1" xfId="0" applyNumberFormat="1" applyFont="1" applyFill="1" applyBorder="1"/>
    <xf numFmtId="165" fontId="0" fillId="6" borderId="27" xfId="0" applyNumberFormat="1" applyFill="1" applyBorder="1"/>
    <xf numFmtId="0" fontId="0" fillId="6" borderId="27" xfId="0" applyFill="1" applyBorder="1"/>
    <xf numFmtId="0" fontId="0" fillId="6" borderId="28" xfId="0" applyFill="1" applyBorder="1"/>
    <xf numFmtId="2" fontId="0" fillId="2" borderId="32" xfId="0" applyNumberFormat="1" applyFill="1" applyBorder="1"/>
    <xf numFmtId="2" fontId="0" fillId="4" borderId="32" xfId="0" applyNumberFormat="1" applyFill="1" applyBorder="1"/>
    <xf numFmtId="2" fontId="0" fillId="5" borderId="33" xfId="0" applyNumberFormat="1" applyFill="1" applyBorder="1"/>
    <xf numFmtId="0" fontId="0" fillId="3" borderId="29" xfId="0" applyFill="1" applyBorder="1"/>
    <xf numFmtId="0" fontId="4" fillId="2" borderId="30" xfId="0" applyFont="1" applyFill="1" applyBorder="1"/>
    <xf numFmtId="0" fontId="5" fillId="2" borderId="30" xfId="0" applyFont="1" applyFill="1" applyBorder="1"/>
    <xf numFmtId="0" fontId="0" fillId="6" borderId="30" xfId="0" applyFill="1" applyBorder="1"/>
    <xf numFmtId="0" fontId="0" fillId="6" borderId="31" xfId="0" applyFill="1" applyBorder="1"/>
    <xf numFmtId="9" fontId="0" fillId="6" borderId="30" xfId="0" applyNumberFormat="1" applyFill="1" applyBorder="1"/>
    <xf numFmtId="9" fontId="0" fillId="6" borderId="27" xfId="0" applyNumberFormat="1" applyFill="1" applyBorder="1"/>
    <xf numFmtId="9" fontId="0" fillId="6" borderId="31" xfId="0" applyNumberFormat="1" applyFill="1" applyBorder="1"/>
    <xf numFmtId="0" fontId="0" fillId="6" borderId="31" xfId="0" applyFill="1" applyBorder="1" applyAlignment="1">
      <alignment horizontal="right"/>
    </xf>
    <xf numFmtId="10" fontId="0" fillId="6" borderId="31" xfId="0" applyNumberFormat="1" applyFill="1" applyBorder="1"/>
    <xf numFmtId="10" fontId="0" fillId="6" borderId="27" xfId="0" applyNumberFormat="1" applyFill="1" applyBorder="1"/>
    <xf numFmtId="2" fontId="0" fillId="5" borderId="18" xfId="0" applyNumberFormat="1" applyFill="1" applyBorder="1" applyAlignment="1">
      <alignment horizontal="right"/>
    </xf>
    <xf numFmtId="2" fontId="0" fillId="5" borderId="12" xfId="0" applyNumberFormat="1" applyFill="1" applyBorder="1" applyAlignment="1">
      <alignment horizontal="right"/>
    </xf>
    <xf numFmtId="10" fontId="0" fillId="5" borderId="18" xfId="0" applyNumberFormat="1" applyFill="1" applyBorder="1" applyAlignment="1">
      <alignment horizontal="right"/>
    </xf>
    <xf numFmtId="10" fontId="0" fillId="5" borderId="12" xfId="0" applyNumberFormat="1" applyFill="1" applyBorder="1" applyAlignment="1">
      <alignment horizontal="right"/>
    </xf>
    <xf numFmtId="2" fontId="0" fillId="0" borderId="20" xfId="0" applyNumberFormat="1" applyBorder="1"/>
    <xf numFmtId="1" fontId="0" fillId="0" borderId="20" xfId="0" applyNumberFormat="1" applyBorder="1"/>
    <xf numFmtId="1" fontId="0" fillId="2" borderId="1" xfId="0" applyNumberFormat="1" applyFill="1" applyBorder="1"/>
    <xf numFmtId="1" fontId="0" fillId="2" borderId="17" xfId="0" applyNumberFormat="1" applyFill="1" applyBorder="1"/>
    <xf numFmtId="1" fontId="0" fillId="4" borderId="17" xfId="0" applyNumberFormat="1" applyFill="1" applyBorder="1"/>
    <xf numFmtId="1" fontId="0" fillId="0" borderId="31" xfId="0" applyNumberFormat="1" applyBorder="1"/>
    <xf numFmtId="1" fontId="0" fillId="5" borderId="18" xfId="0" applyNumberFormat="1" applyFill="1" applyBorder="1" applyAlignment="1">
      <alignment horizontal="right"/>
    </xf>
    <xf numFmtId="0" fontId="0" fillId="0" borderId="10" xfId="0" applyBorder="1"/>
    <xf numFmtId="0" fontId="0" fillId="9" borderId="3" xfId="0" applyFill="1" applyBorder="1"/>
    <xf numFmtId="0" fontId="0" fillId="9" borderId="1" xfId="0" applyFill="1" applyBorder="1"/>
    <xf numFmtId="0" fontId="0" fillId="10" borderId="16" xfId="0" applyFill="1" applyBorder="1"/>
    <xf numFmtId="165" fontId="0" fillId="10" borderId="17" xfId="0" applyNumberFormat="1" applyFill="1" applyBorder="1"/>
    <xf numFmtId="165" fontId="0" fillId="10" borderId="1" xfId="0" applyNumberFormat="1" applyFill="1" applyBorder="1"/>
    <xf numFmtId="0" fontId="0" fillId="11" borderId="16" xfId="0" applyFill="1" applyBorder="1"/>
    <xf numFmtId="165" fontId="0" fillId="11" borderId="30" xfId="0" applyNumberFormat="1" applyFill="1" applyBorder="1"/>
    <xf numFmtId="165" fontId="0" fillId="11" borderId="17" xfId="0" applyNumberFormat="1" applyFill="1" applyBorder="1"/>
    <xf numFmtId="165" fontId="0" fillId="11" borderId="1" xfId="0" applyNumberFormat="1" applyFill="1" applyBorder="1"/>
    <xf numFmtId="165" fontId="0" fillId="11" borderId="18" xfId="0" applyNumberFormat="1" applyFill="1" applyBorder="1"/>
    <xf numFmtId="166" fontId="0" fillId="0" borderId="1" xfId="0" applyNumberFormat="1" applyBorder="1"/>
    <xf numFmtId="165" fontId="2" fillId="10" borderId="30" xfId="0" applyNumberFormat="1" applyFont="1" applyFill="1" applyBorder="1"/>
    <xf numFmtId="165" fontId="2" fillId="10" borderId="18" xfId="0" applyNumberFormat="1" applyFont="1" applyFill="1" applyBorder="1"/>
    <xf numFmtId="0" fontId="2" fillId="0" borderId="16" xfId="0" applyFont="1" applyBorder="1"/>
    <xf numFmtId="4" fontId="0" fillId="2" borderId="1" xfId="0" applyNumberFormat="1" applyFill="1" applyBorder="1"/>
    <xf numFmtId="164" fontId="0" fillId="11" borderId="17" xfId="0" applyNumberFormat="1" applyFill="1" applyBorder="1"/>
    <xf numFmtId="164" fontId="0" fillId="10" borderId="17" xfId="0" applyNumberFormat="1" applyFill="1" applyBorder="1"/>
    <xf numFmtId="2" fontId="0" fillId="12" borderId="17" xfId="0" applyNumberFormat="1" applyFill="1" applyBorder="1"/>
    <xf numFmtId="10" fontId="0" fillId="12" borderId="17" xfId="0" applyNumberFormat="1" applyFill="1" applyBorder="1"/>
    <xf numFmtId="10" fontId="0" fillId="2" borderId="11" xfId="0" applyNumberFormat="1" applyFill="1" applyBorder="1"/>
    <xf numFmtId="0" fontId="0" fillId="13" borderId="1" xfId="0" applyFill="1" applyBorder="1"/>
    <xf numFmtId="6" fontId="0" fillId="0" borderId="1" xfId="0" applyNumberFormat="1" applyBorder="1"/>
    <xf numFmtId="0" fontId="2" fillId="14" borderId="1" xfId="0" applyFont="1" applyFill="1" applyBorder="1"/>
    <xf numFmtId="0" fontId="0" fillId="14" borderId="1" xfId="0" applyFill="1" applyBorder="1"/>
    <xf numFmtId="0" fontId="0" fillId="14" borderId="0" xfId="0" applyFill="1"/>
    <xf numFmtId="0" fontId="2" fillId="8" borderId="36" xfId="0" applyFont="1" applyFill="1" applyBorder="1"/>
    <xf numFmtId="6" fontId="0" fillId="8" borderId="36" xfId="0" applyNumberFormat="1" applyFill="1" applyBorder="1"/>
    <xf numFmtId="8" fontId="0" fillId="8" borderId="36" xfId="0" applyNumberFormat="1" applyFill="1" applyBorder="1"/>
    <xf numFmtId="0" fontId="2" fillId="2" borderId="1" xfId="0" applyFont="1" applyFill="1" applyBorder="1"/>
    <xf numFmtId="8" fontId="0" fillId="2" borderId="1" xfId="0" applyNumberFormat="1" applyFill="1" applyBorder="1"/>
    <xf numFmtId="0" fontId="6" fillId="0" borderId="0" xfId="0" applyFont="1" applyAlignment="1">
      <alignment vertical="center" wrapText="1"/>
    </xf>
    <xf numFmtId="6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0" fontId="0" fillId="0" borderId="0" xfId="0" applyNumberFormat="1"/>
    <xf numFmtId="0" fontId="2" fillId="0" borderId="36" xfId="0" applyFont="1" applyBorder="1"/>
    <xf numFmtId="0" fontId="0" fillId="0" borderId="36" xfId="0" applyBorder="1"/>
    <xf numFmtId="165" fontId="0" fillId="8" borderId="1" xfId="0" applyNumberFormat="1" applyFill="1" applyBorder="1"/>
    <xf numFmtId="0" fontId="8" fillId="6" borderId="1" xfId="0" applyFont="1" applyFill="1" applyBorder="1"/>
    <xf numFmtId="0" fontId="8" fillId="7" borderId="1" xfId="0" applyFont="1" applyFill="1" applyBorder="1"/>
    <xf numFmtId="165" fontId="8" fillId="8" borderId="1" xfId="0" applyNumberFormat="1" applyFont="1" applyFill="1" applyBorder="1"/>
    <xf numFmtId="10" fontId="8" fillId="0" borderId="1" xfId="0" applyNumberFormat="1" applyFont="1" applyBorder="1"/>
    <xf numFmtId="0" fontId="8" fillId="0" borderId="36" xfId="0" applyFont="1" applyBorder="1"/>
    <xf numFmtId="165" fontId="8" fillId="0" borderId="1" xfId="0" applyNumberFormat="1" applyFont="1" applyBorder="1"/>
    <xf numFmtId="10" fontId="0" fillId="0" borderId="1" xfId="0" applyNumberFormat="1" applyBorder="1" applyAlignment="1">
      <alignment horizontal="right"/>
    </xf>
    <xf numFmtId="0" fontId="0" fillId="0" borderId="37" xfId="0" applyBorder="1"/>
    <xf numFmtId="164" fontId="0" fillId="0" borderId="11" xfId="0" applyNumberFormat="1" applyBorder="1"/>
    <xf numFmtId="164" fontId="3" fillId="0" borderId="11" xfId="0" applyNumberFormat="1" applyFont="1" applyBorder="1"/>
    <xf numFmtId="164" fontId="0" fillId="0" borderId="12" xfId="0" applyNumberFormat="1" applyBorder="1"/>
    <xf numFmtId="165" fontId="3" fillId="4" borderId="3" xfId="0" applyNumberFormat="1" applyFont="1" applyFill="1" applyBorder="1"/>
    <xf numFmtId="165" fontId="0" fillId="5" borderId="4" xfId="0" applyNumberFormat="1" applyFill="1" applyBorder="1"/>
    <xf numFmtId="2" fontId="0" fillId="10" borderId="17" xfId="0" applyNumberFormat="1" applyFill="1" applyBorder="1"/>
    <xf numFmtId="165" fontId="0" fillId="12" borderId="17" xfId="0" applyNumberFormat="1" applyFill="1" applyBorder="1"/>
    <xf numFmtId="6" fontId="0" fillId="6" borderId="31" xfId="0" applyNumberFormat="1" applyFill="1" applyBorder="1"/>
    <xf numFmtId="6" fontId="0" fillId="6" borderId="27" xfId="0" applyNumberFormat="1" applyFill="1" applyBorder="1"/>
    <xf numFmtId="8" fontId="0" fillId="6" borderId="27" xfId="0" applyNumberFormat="1" applyFill="1" applyBorder="1"/>
    <xf numFmtId="0" fontId="2" fillId="2" borderId="0" xfId="0" applyFont="1" applyFill="1"/>
    <xf numFmtId="10" fontId="0" fillId="2" borderId="0" xfId="0" applyNumberFormat="1" applyFill="1"/>
    <xf numFmtId="0" fontId="0" fillId="12" borderId="1" xfId="0" applyFill="1" applyBorder="1"/>
    <xf numFmtId="6" fontId="0" fillId="8" borderId="1" xfId="0" applyNumberFormat="1" applyFill="1" applyBorder="1"/>
    <xf numFmtId="6" fontId="0" fillId="8" borderId="36" xfId="0" applyNumberFormat="1" applyFill="1" applyBorder="1" applyAlignment="1">
      <alignment horizontal="right"/>
    </xf>
    <xf numFmtId="0" fontId="0" fillId="0" borderId="27" xfId="0" applyBorder="1"/>
    <xf numFmtId="0" fontId="0" fillId="15" borderId="0" xfId="0" applyFill="1"/>
    <xf numFmtId="0" fontId="2" fillId="0" borderId="11" xfId="0" applyFont="1" applyBorder="1"/>
    <xf numFmtId="0" fontId="8" fillId="14" borderId="1" xfId="0" applyFont="1" applyFill="1" applyBorder="1"/>
    <xf numFmtId="6" fontId="8" fillId="8" borderId="1" xfId="0" applyNumberFormat="1" applyFont="1" applyFill="1" applyBorder="1"/>
    <xf numFmtId="0" fontId="8" fillId="0" borderId="0" xfId="0" applyFont="1"/>
    <xf numFmtId="8" fontId="0" fillId="8" borderId="1" xfId="0" applyNumberFormat="1" applyFill="1" applyBorder="1"/>
    <xf numFmtId="6" fontId="2" fillId="8" borderId="36" xfId="0" applyNumberFormat="1" applyFont="1" applyFill="1" applyBorder="1"/>
    <xf numFmtId="6" fontId="2" fillId="8" borderId="1" xfId="0" applyNumberFormat="1" applyFont="1" applyFill="1" applyBorder="1"/>
    <xf numFmtId="6" fontId="2" fillId="2" borderId="1" xfId="0" applyNumberFormat="1" applyFont="1" applyFill="1" applyBorder="1"/>
    <xf numFmtId="6" fontId="6" fillId="0" borderId="0" xfId="0" applyNumberFormat="1" applyFont="1" applyAlignment="1">
      <alignment vertical="center" wrapText="1"/>
    </xf>
    <xf numFmtId="8" fontId="2" fillId="2" borderId="1" xfId="0" applyNumberFormat="1" applyFont="1" applyFill="1" applyBorder="1"/>
    <xf numFmtId="6" fontId="0" fillId="0" borderId="20" xfId="0" applyNumberFormat="1" applyBorder="1"/>
    <xf numFmtId="3" fontId="0" fillId="2" borderId="3" xfId="0" applyNumberFormat="1" applyFill="1" applyBorder="1"/>
    <xf numFmtId="2" fontId="0" fillId="12" borderId="3" xfId="0" applyNumberFormat="1" applyFill="1" applyBorder="1"/>
    <xf numFmtId="2" fontId="0" fillId="2" borderId="3" xfId="0" applyNumberFormat="1" applyFill="1" applyBorder="1"/>
    <xf numFmtId="2" fontId="0" fillId="4" borderId="3" xfId="0" applyNumberFormat="1" applyFill="1" applyBorder="1"/>
    <xf numFmtId="2" fontId="0" fillId="5" borderId="4" xfId="0" applyNumberFormat="1" applyFill="1" applyBorder="1" applyAlignment="1">
      <alignment horizontal="right"/>
    </xf>
    <xf numFmtId="3" fontId="0" fillId="2" borderId="8" xfId="0" applyNumberFormat="1" applyFill="1" applyBorder="1"/>
    <xf numFmtId="2" fontId="0" fillId="12" borderId="32" xfId="0" applyNumberFormat="1" applyFill="1" applyBorder="1"/>
    <xf numFmtId="2" fontId="0" fillId="5" borderId="33" xfId="0" applyNumberFormat="1" applyFill="1" applyBorder="1" applyAlignment="1">
      <alignment horizontal="right"/>
    </xf>
    <xf numFmtId="0" fontId="5" fillId="2" borderId="2" xfId="0" applyFont="1" applyFill="1" applyBorder="1"/>
    <xf numFmtId="0" fontId="5" fillId="2" borderId="26" xfId="0" applyFont="1" applyFill="1" applyBorder="1"/>
    <xf numFmtId="2" fontId="0" fillId="5" borderId="4" xfId="0" applyNumberFormat="1" applyFill="1" applyBorder="1"/>
    <xf numFmtId="10" fontId="0" fillId="6" borderId="28" xfId="0" applyNumberFormat="1" applyFill="1" applyBorder="1"/>
    <xf numFmtId="9" fontId="0" fillId="0" borderId="8" xfId="0" applyNumberFormat="1" applyBorder="1"/>
    <xf numFmtId="9" fontId="0" fillId="2" borderId="8" xfId="0" applyNumberFormat="1" applyFill="1" applyBorder="1"/>
    <xf numFmtId="10" fontId="0" fillId="2" borderId="8" xfId="0" applyNumberFormat="1" applyFill="1" applyBorder="1"/>
    <xf numFmtId="10" fontId="0" fillId="4" borderId="32" xfId="0" applyNumberFormat="1" applyFill="1" applyBorder="1"/>
    <xf numFmtId="10" fontId="0" fillId="5" borderId="33" xfId="0" applyNumberFormat="1" applyFill="1" applyBorder="1" applyAlignment="1">
      <alignment horizontal="right"/>
    </xf>
    <xf numFmtId="165" fontId="0" fillId="5" borderId="1" xfId="0" applyNumberFormat="1" applyFill="1" applyBorder="1"/>
    <xf numFmtId="9" fontId="0" fillId="0" borderId="0" xfId="0" applyNumberFormat="1"/>
    <xf numFmtId="0" fontId="0" fillId="16" borderId="16" xfId="0" applyFill="1" applyBorder="1"/>
    <xf numFmtId="165" fontId="2" fillId="16" borderId="30" xfId="0" applyNumberFormat="1" applyFont="1" applyFill="1" applyBorder="1"/>
    <xf numFmtId="10" fontId="0" fillId="16" borderId="17" xfId="0" applyNumberFormat="1" applyFill="1" applyBorder="1"/>
    <xf numFmtId="10" fontId="0" fillId="16" borderId="38" xfId="0" applyNumberFormat="1" applyFill="1" applyBorder="1"/>
    <xf numFmtId="10" fontId="0" fillId="16" borderId="30" xfId="0" applyNumberFormat="1" applyFill="1" applyBorder="1"/>
    <xf numFmtId="165" fontId="0" fillId="2" borderId="20" xfId="0" applyNumberFormat="1" applyFill="1" applyBorder="1"/>
    <xf numFmtId="10" fontId="0" fillId="2" borderId="24" xfId="0" applyNumberFormat="1" applyFill="1" applyBorder="1"/>
    <xf numFmtId="165" fontId="0" fillId="2" borderId="11" xfId="0" applyNumberFormat="1" applyFill="1" applyBorder="1"/>
    <xf numFmtId="0" fontId="2" fillId="2" borderId="39" xfId="0" applyFont="1" applyFill="1" applyBorder="1"/>
    <xf numFmtId="165" fontId="0" fillId="2" borderId="38" xfId="0" applyNumberFormat="1" applyFill="1" applyBorder="1"/>
    <xf numFmtId="2" fontId="0" fillId="4" borderId="38" xfId="0" applyNumberFormat="1" applyFill="1" applyBorder="1"/>
    <xf numFmtId="2" fontId="0" fillId="4" borderId="40" xfId="0" applyNumberFormat="1" applyFill="1" applyBorder="1"/>
    <xf numFmtId="2" fontId="2" fillId="5" borderId="41" xfId="0" applyNumberFormat="1" applyFont="1" applyFill="1" applyBorder="1"/>
    <xf numFmtId="165" fontId="0" fillId="5" borderId="34" xfId="0" applyNumberFormat="1" applyFill="1" applyBorder="1"/>
    <xf numFmtId="165" fontId="2" fillId="5" borderId="34" xfId="0" applyNumberFormat="1" applyFont="1" applyFill="1" applyBorder="1"/>
    <xf numFmtId="10" fontId="0" fillId="5" borderId="34" xfId="0" applyNumberFormat="1" applyFill="1" applyBorder="1"/>
    <xf numFmtId="2" fontId="0" fillId="3" borderId="42" xfId="0" applyNumberFormat="1" applyFill="1" applyBorder="1"/>
    <xf numFmtId="2" fontId="0" fillId="5" borderId="35" xfId="0" applyNumberFormat="1" applyFill="1" applyBorder="1"/>
    <xf numFmtId="2" fontId="0" fillId="5" borderId="35" xfId="0" applyNumberFormat="1" applyFill="1" applyBorder="1" applyAlignment="1">
      <alignment horizontal="right"/>
    </xf>
    <xf numFmtId="2" fontId="0" fillId="5" borderId="42" xfId="0" applyNumberFormat="1" applyFill="1" applyBorder="1" applyAlignment="1">
      <alignment horizontal="right"/>
    </xf>
    <xf numFmtId="9" fontId="0" fillId="10" borderId="17" xfId="0" applyNumberFormat="1" applyFill="1" applyBorder="1"/>
    <xf numFmtId="6" fontId="0" fillId="2" borderId="1" xfId="0" applyNumberFormat="1" applyFill="1" applyBorder="1"/>
    <xf numFmtId="0" fontId="8" fillId="2" borderId="1" xfId="0" applyFont="1" applyFill="1" applyBorder="1"/>
    <xf numFmtId="0" fontId="0" fillId="0" borderId="1" xfId="0" applyBorder="1" applyAlignment="1">
      <alignment horizontal="right"/>
    </xf>
    <xf numFmtId="0" fontId="0" fillId="17" borderId="1" xfId="0" applyFill="1" applyBorder="1"/>
    <xf numFmtId="164" fontId="0" fillId="17" borderId="1" xfId="0" applyNumberFormat="1" applyFill="1" applyBorder="1"/>
    <xf numFmtId="6" fontId="0" fillId="17" borderId="27" xfId="0" applyNumberFormat="1" applyFill="1" applyBorder="1"/>
    <xf numFmtId="165" fontId="2" fillId="11" borderId="30" xfId="0" applyNumberFormat="1" applyFont="1" applyFill="1" applyBorder="1"/>
    <xf numFmtId="10" fontId="0" fillId="11" borderId="30" xfId="0" applyNumberFormat="1" applyFill="1" applyBorder="1"/>
    <xf numFmtId="10" fontId="0" fillId="11" borderId="17" xfId="0" applyNumberFormat="1" applyFill="1" applyBorder="1"/>
    <xf numFmtId="10" fontId="0" fillId="11" borderId="38" xfId="0" applyNumberFormat="1" applyFill="1" applyBorder="1"/>
    <xf numFmtId="10" fontId="0" fillId="10" borderId="30" xfId="0" applyNumberFormat="1" applyFill="1" applyBorder="1"/>
    <xf numFmtId="6" fontId="0" fillId="10" borderId="17" xfId="0" applyNumberFormat="1" applyFill="1" applyBorder="1"/>
    <xf numFmtId="6" fontId="0" fillId="10" borderId="38" xfId="0" applyNumberFormat="1" applyFill="1" applyBorder="1"/>
    <xf numFmtId="6" fontId="0" fillId="10" borderId="30" xfId="0" applyNumberFormat="1" applyFill="1" applyBorder="1"/>
    <xf numFmtId="2" fontId="0" fillId="11" borderId="16" xfId="0" applyNumberFormat="1" applyFill="1" applyBorder="1"/>
    <xf numFmtId="2" fontId="2" fillId="11" borderId="30" xfId="0" applyNumberFormat="1" applyFont="1" applyFill="1" applyBorder="1"/>
    <xf numFmtId="2" fontId="0" fillId="11" borderId="17" xfId="0" applyNumberFormat="1" applyFill="1" applyBorder="1"/>
    <xf numFmtId="2" fontId="0" fillId="11" borderId="30" xfId="0" applyNumberFormat="1" applyFill="1" applyBorder="1"/>
    <xf numFmtId="2" fontId="0" fillId="11" borderId="38" xfId="0" applyNumberFormat="1" applyFill="1" applyBorder="1"/>
    <xf numFmtId="2" fontId="0" fillId="10" borderId="16" xfId="0" applyNumberFormat="1" applyFill="1" applyBorder="1"/>
    <xf numFmtId="2" fontId="2" fillId="10" borderId="30" xfId="0" applyNumberFormat="1" applyFont="1" applyFill="1" applyBorder="1"/>
    <xf numFmtId="2" fontId="0" fillId="2" borderId="0" xfId="0" applyNumberFormat="1" applyFill="1"/>
    <xf numFmtId="2" fontId="0" fillId="10" borderId="30" xfId="0" applyNumberFormat="1" applyFill="1" applyBorder="1"/>
    <xf numFmtId="2" fontId="0" fillId="10" borderId="38" xfId="0" applyNumberFormat="1" applyFill="1" applyBorder="1"/>
    <xf numFmtId="2" fontId="2" fillId="11" borderId="18" xfId="0" applyNumberFormat="1" applyFont="1" applyFill="1" applyBorder="1"/>
    <xf numFmtId="2" fontId="0" fillId="11" borderId="0" xfId="0" applyNumberFormat="1" applyFill="1"/>
    <xf numFmtId="2" fontId="2" fillId="10" borderId="18" xfId="0" applyNumberFormat="1" applyFont="1" applyFill="1" applyBorder="1"/>
    <xf numFmtId="164" fontId="0" fillId="11" borderId="16" xfId="0" applyNumberFormat="1" applyFill="1" applyBorder="1"/>
    <xf numFmtId="164" fontId="2" fillId="11" borderId="30" xfId="0" applyNumberFormat="1" applyFont="1" applyFill="1" applyBorder="1"/>
    <xf numFmtId="164" fontId="2" fillId="11" borderId="18" xfId="0" applyNumberFormat="1" applyFont="1" applyFill="1" applyBorder="1"/>
    <xf numFmtId="164" fontId="0" fillId="11" borderId="0" xfId="0" applyNumberFormat="1" applyFill="1"/>
    <xf numFmtId="164" fontId="0" fillId="10" borderId="16" xfId="0" applyNumberFormat="1" applyFill="1" applyBorder="1"/>
    <xf numFmtId="164" fontId="2" fillId="10" borderId="30" xfId="0" applyNumberFormat="1" applyFont="1" applyFill="1" applyBorder="1"/>
    <xf numFmtId="164" fontId="2" fillId="10" borderId="18" xfId="0" applyNumberFormat="1" applyFont="1" applyFill="1" applyBorder="1"/>
    <xf numFmtId="164" fontId="0" fillId="0" borderId="0" xfId="0" applyNumberFormat="1"/>
    <xf numFmtId="0" fontId="0" fillId="18" borderId="1" xfId="0" applyFill="1" applyBorder="1"/>
    <xf numFmtId="0" fontId="8" fillId="0" borderId="1" xfId="0" applyFont="1" applyBorder="1"/>
    <xf numFmtId="8" fontId="0" fillId="0" borderId="1" xfId="0" applyNumberFormat="1" applyBorder="1"/>
    <xf numFmtId="0" fontId="0" fillId="0" borderId="11" xfId="0" applyBorder="1"/>
    <xf numFmtId="164" fontId="0" fillId="19" borderId="1" xfId="0" applyNumberFormat="1" applyFill="1" applyBorder="1"/>
    <xf numFmtId="0" fontId="0" fillId="19" borderId="27" xfId="0" applyFill="1" applyBorder="1"/>
    <xf numFmtId="168" fontId="0" fillId="2" borderId="0" xfId="0" applyNumberFormat="1" applyFill="1"/>
    <xf numFmtId="168" fontId="8" fillId="2" borderId="0" xfId="0" applyNumberFormat="1" applyFont="1" applyFill="1"/>
    <xf numFmtId="165" fontId="0" fillId="11" borderId="38" xfId="0" applyNumberFormat="1" applyFill="1" applyBorder="1"/>
    <xf numFmtId="165" fontId="0" fillId="10" borderId="38" xfId="0" applyNumberFormat="1" applyFill="1" applyBorder="1"/>
    <xf numFmtId="164" fontId="0" fillId="11" borderId="38" xfId="0" applyNumberFormat="1" applyFill="1" applyBorder="1"/>
    <xf numFmtId="164" fontId="0" fillId="10" borderId="38" xfId="0" applyNumberFormat="1" applyFill="1" applyBorder="1"/>
    <xf numFmtId="0" fontId="0" fillId="0" borderId="38" xfId="0" applyBorder="1"/>
    <xf numFmtId="164" fontId="0" fillId="11" borderId="30" xfId="0" applyNumberFormat="1" applyFill="1" applyBorder="1"/>
    <xf numFmtId="164" fontId="0" fillId="10" borderId="30" xfId="0" applyNumberFormat="1" applyFill="1" applyBorder="1"/>
    <xf numFmtId="2" fontId="0" fillId="12" borderId="30" xfId="0" applyNumberFormat="1" applyFill="1" applyBorder="1"/>
    <xf numFmtId="0" fontId="2" fillId="2" borderId="43" xfId="0" applyFont="1" applyFill="1" applyBorder="1"/>
    <xf numFmtId="2" fontId="0" fillId="3" borderId="32" xfId="0" applyNumberFormat="1" applyFill="1" applyBorder="1"/>
    <xf numFmtId="6" fontId="0" fillId="0" borderId="17" xfId="0" applyNumberFormat="1" applyBorder="1"/>
    <xf numFmtId="10" fontId="0" fillId="15" borderId="1" xfId="0" applyNumberFormat="1" applyFill="1" applyBorder="1"/>
    <xf numFmtId="0" fontId="0" fillId="6" borderId="20" xfId="0" applyFill="1" applyBorder="1"/>
    <xf numFmtId="0" fontId="0" fillId="9" borderId="20" xfId="0" applyFill="1" applyBorder="1"/>
    <xf numFmtId="0" fontId="0" fillId="2" borderId="44" xfId="0" applyFill="1" applyBorder="1"/>
    <xf numFmtId="165" fontId="0" fillId="0" borderId="36" xfId="0" applyNumberFormat="1" applyBorder="1"/>
    <xf numFmtId="0" fontId="0" fillId="3" borderId="40" xfId="0" applyFill="1" applyBorder="1"/>
    <xf numFmtId="165" fontId="0" fillId="0" borderId="44" xfId="0" applyNumberFormat="1" applyBorder="1"/>
    <xf numFmtId="165" fontId="0" fillId="0" borderId="45" xfId="0" applyNumberFormat="1" applyBorder="1"/>
    <xf numFmtId="0" fontId="0" fillId="0" borderId="44" xfId="0" applyBorder="1"/>
    <xf numFmtId="0" fontId="0" fillId="0" borderId="45" xfId="0" applyBorder="1"/>
    <xf numFmtId="0" fontId="0" fillId="2" borderId="36" xfId="0" applyFill="1" applyBorder="1"/>
    <xf numFmtId="0" fontId="0" fillId="0" borderId="46" xfId="0" applyBorder="1"/>
    <xf numFmtId="0" fontId="2" fillId="2" borderId="47" xfId="0" applyFont="1" applyFill="1" applyBorder="1"/>
    <xf numFmtId="0" fontId="0" fillId="3" borderId="1" xfId="0" applyFill="1" applyBorder="1"/>
    <xf numFmtId="0" fontId="0" fillId="20" borderId="1" xfId="0" applyFill="1" applyBorder="1"/>
    <xf numFmtId="165" fontId="0" fillId="0" borderId="0" xfId="0" applyNumberFormat="1"/>
    <xf numFmtId="10" fontId="0" fillId="5" borderId="48" xfId="0" applyNumberFormat="1" applyFill="1" applyBorder="1"/>
    <xf numFmtId="2" fontId="0" fillId="5" borderId="48" xfId="0" applyNumberFormat="1" applyFill="1" applyBorder="1"/>
    <xf numFmtId="10" fontId="0" fillId="2" borderId="49" xfId="0" applyNumberFormat="1" applyFill="1" applyBorder="1"/>
    <xf numFmtId="2" fontId="0" fillId="3" borderId="50" xfId="0" applyNumberFormat="1" applyFill="1" applyBorder="1"/>
  </cellXfs>
  <cellStyles count="6">
    <cellStyle name="Comma 2" xfId="2" xr:uid="{BAA6F2B9-33B0-4F00-9B65-6114F81E7551}"/>
    <cellStyle name="Currency 2" xfId="3" xr:uid="{2C2403DD-E6BB-44E5-9A4F-54D2000364CB}"/>
    <cellStyle name="Normal" xfId="0" builtinId="0"/>
    <cellStyle name="Normal 2" xfId="5" xr:uid="{4D3CBBA1-8BE2-4C78-9FBB-25C4788F6885}"/>
    <cellStyle name="Normal 3" xfId="1" xr:uid="{5D1894E2-9473-49CD-AFE3-5E13DCDB2D4C}"/>
    <cellStyle name="Per cent 2" xfId="4" xr:uid="{9365C403-0BEF-4FFA-B2A6-C93D16AFC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 Flow &amp; Pipeline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E423-470B-98AE-0EF2E9D2B847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E423-470B-98AE-0EF2E9D2B847}"/>
              </c:ext>
            </c:extLst>
          </c:dPt>
          <c:val>
            <c:numRef>
              <c:f>('Contract Performance'!$D$55:$E$55,'Contract Performance'!$G$55:$I$55,'Contract Performance'!$L$55:$M$55,'Contract Performance'!$N$55,'Contract Performance'!$P$55,'Contract Performance'!$P$55:$Q$55)</c:f>
              <c:numCache>
                <c:formatCode>General</c:formatCode>
                <c:ptCount val="11"/>
                <c:pt idx="0">
                  <c:v>22</c:v>
                </c:pt>
                <c:pt idx="1">
                  <c:v>25</c:v>
                </c:pt>
                <c:pt idx="2">
                  <c:v>12</c:v>
                </c:pt>
                <c:pt idx="3">
                  <c:v>15</c:v>
                </c:pt>
                <c:pt idx="4">
                  <c:v>22</c:v>
                </c:pt>
                <c:pt idx="5">
                  <c:v>26</c:v>
                </c:pt>
                <c:pt idx="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C-4F95-AF02-25CB7E66A1D5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('Contract Performance'!$D$65:$E$65,'Contract Performance'!$G$65:$I$65,'Contract Performance'!$L$65:$M$65,'Contract Performance'!$N$65,'Contract Performance'!$P$65,'Contract Performance'!$P$65:$Q$65)</c:f>
              <c:numCache>
                <c:formatCode>General</c:formatCode>
                <c:ptCount val="11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AC-42E4-AB68-85F4863CB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688879"/>
        <c:axId val="312690319"/>
      </c:lineChart>
      <c:catAx>
        <c:axId val="312688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90319"/>
        <c:crosses val="autoZero"/>
        <c:auto val="1"/>
        <c:lblAlgn val="ctr"/>
        <c:lblOffset val="100"/>
        <c:noMultiLvlLbl val="0"/>
      </c:catAx>
      <c:valAx>
        <c:axId val="312690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8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Client Meetings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F191-4110-A979-FA7ABCFEB936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2225" cap="rnd">
                <a:solidFill>
                  <a:schemeClr val="accent1"/>
                </a:solidFill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F191-4110-A979-FA7ABCFEB936}"/>
              </c:ext>
            </c:extLst>
          </c:dPt>
          <c:val>
            <c:numRef>
              <c:f>('Contract Performance'!$D$78:$E$78,'Contract Performance'!$G$78:$I$78,'Contract Performance'!$L$78:$M$78,'Contract Performance'!$N$78,'Contract Performance'!$P$78,'Contract Performance'!$P$78:$Q$78)</c:f>
              <c:numCache>
                <c:formatCode>General</c:formatCode>
                <c:ptCount val="11"/>
                <c:pt idx="0">
                  <c:v>48</c:v>
                </c:pt>
                <c:pt idx="1">
                  <c:v>30</c:v>
                </c:pt>
                <c:pt idx="2">
                  <c:v>51</c:v>
                </c:pt>
                <c:pt idx="3">
                  <c:v>107</c:v>
                </c:pt>
                <c:pt idx="4">
                  <c:v>17</c:v>
                </c:pt>
                <c:pt idx="5">
                  <c:v>100</c:v>
                </c:pt>
                <c:pt idx="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E-495F-9ABC-3716B5457CAF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('Contract Performance'!$D$80:$E$80,'Contract Performance'!$G$80:$I$80,'Contract Performance'!$L$80:$M$80,'Contract Performance'!$N$80,'Contract Performance'!$P$80,'Contract Performance'!$P$80:$Q$80)</c:f>
              <c:numCache>
                <c:formatCode>General</c:formatCode>
                <c:ptCount val="11"/>
                <c:pt idx="0">
                  <c:v>35</c:v>
                </c:pt>
                <c:pt idx="1">
                  <c:v>39</c:v>
                </c:pt>
                <c:pt idx="2">
                  <c:v>8</c:v>
                </c:pt>
                <c:pt idx="3">
                  <c:v>9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B-46F5-8470-E678ED671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841791"/>
        <c:axId val="1921836031"/>
      </c:lineChart>
      <c:catAx>
        <c:axId val="1921841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36031"/>
        <c:crosses val="autoZero"/>
        <c:auto val="1"/>
        <c:lblAlgn val="ctr"/>
        <c:lblOffset val="100"/>
        <c:noMultiLvlLbl val="0"/>
      </c:catAx>
      <c:valAx>
        <c:axId val="1921836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4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 Flow &amp; Pipeline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('Perm Performance'!$D$35:$E$35,'Perm Performance'!$G$35:$I$35,'Perm Performance'!$L$35:$M$35,'Perm Performance'!$N$35,'Perm Performance'!$P$35,'Perm Performance'!$P$35:$Q$35)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7B-4682-B8AE-58D11B1BE09F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('Perm Performance'!$D$46:$E$46,'Perm Performance'!$G$46:$I$46,'Perm Performance'!$L$46:$M$46,'Perm Performance'!$N$46,'Perm Performance'!$P$46,'Perm Performance'!$P$46:$Q$46)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7B-4682-B8AE-58D11B1BE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688879"/>
        <c:axId val="312690319"/>
      </c:lineChart>
      <c:catAx>
        <c:axId val="312688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90319"/>
        <c:crosses val="autoZero"/>
        <c:auto val="1"/>
        <c:lblAlgn val="ctr"/>
        <c:lblOffset val="100"/>
        <c:noMultiLvlLbl val="0"/>
      </c:catAx>
      <c:valAx>
        <c:axId val="31269031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68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Client Meetings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('Perm Performance'!$D$59:$E$59,'Perm Performance'!$G$59:$I$59,'Perm Performance'!$L$59:$M$59,'Perm Performance'!$N$59,'Perm Performance'!$P$59,'Perm Performance'!$P$59:$Q$59)</c:f>
              <c:numCache>
                <c:formatCode>General</c:formatCode>
                <c:ptCount val="11"/>
                <c:pt idx="0">
                  <c:v>26</c:v>
                </c:pt>
                <c:pt idx="1">
                  <c:v>37</c:v>
                </c:pt>
                <c:pt idx="2">
                  <c:v>42</c:v>
                </c:pt>
                <c:pt idx="3">
                  <c:v>37</c:v>
                </c:pt>
                <c:pt idx="4">
                  <c:v>32</c:v>
                </c:pt>
                <c:pt idx="5">
                  <c:v>39</c:v>
                </c:pt>
                <c:pt idx="6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8-4860-8DB5-E9FA476018E1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('Perm Performance'!#REF!,'Perm Performance'!#REF!,'Perm Performance'!#REF!,'Perm Performance'!#REF!,'Perm Performance'!#REF!,'Perm Performance'!#REF!)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8-4860-8DB5-E9FA4760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841791"/>
        <c:axId val="1921836031"/>
      </c:lineChart>
      <c:catAx>
        <c:axId val="1921841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36031"/>
        <c:crosses val="autoZero"/>
        <c:auto val="1"/>
        <c:lblAlgn val="ctr"/>
        <c:lblOffset val="100"/>
        <c:noMultiLvlLbl val="0"/>
      </c:catAx>
      <c:valAx>
        <c:axId val="19218360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4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49120</xdr:colOff>
      <xdr:row>97</xdr:row>
      <xdr:rowOff>160432</xdr:rowOff>
    </xdr:from>
    <xdr:to>
      <xdr:col>17</xdr:col>
      <xdr:colOff>189940</xdr:colOff>
      <xdr:row>112</xdr:row>
      <xdr:rowOff>102162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C165D-599D-8224-7D0E-6F018F04D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508000</xdr:colOff>
      <xdr:row>97</xdr:row>
      <xdr:rowOff>137459</xdr:rowOff>
    </xdr:from>
    <xdr:to>
      <xdr:col>10</xdr:col>
      <xdr:colOff>642471</xdr:colOff>
      <xdr:row>112</xdr:row>
      <xdr:rowOff>79189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A43D81-3872-DDA9-9EDF-9D8DA9AFC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49120</xdr:colOff>
      <xdr:row>77</xdr:row>
      <xdr:rowOff>160432</xdr:rowOff>
    </xdr:from>
    <xdr:to>
      <xdr:col>17</xdr:col>
      <xdr:colOff>189940</xdr:colOff>
      <xdr:row>92</xdr:row>
      <xdr:rowOff>102162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8B658-E071-4A74-9BF1-7FF703F93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508000</xdr:colOff>
      <xdr:row>77</xdr:row>
      <xdr:rowOff>137459</xdr:rowOff>
    </xdr:from>
    <xdr:to>
      <xdr:col>10</xdr:col>
      <xdr:colOff>642471</xdr:colOff>
      <xdr:row>92</xdr:row>
      <xdr:rowOff>79189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63F07B-CB69-4865-AFA2-C08B87131D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8ED1-BD59-4052-BA8C-660C8D129890}">
  <dimension ref="A1:CU325"/>
  <sheetViews>
    <sheetView tabSelected="1" zoomScale="85" zoomScaleNormal="85" workbookViewId="0">
      <pane xSplit="1" topLeftCell="B1" activePane="topRight" state="frozen"/>
      <selection activeCell="A57" sqref="A57"/>
      <selection pane="topRight" activeCell="D24" sqref="D24"/>
    </sheetView>
  </sheetViews>
  <sheetFormatPr defaultRowHeight="15" x14ac:dyDescent="0.25"/>
  <cols>
    <col min="1" max="1" width="46.140625" bestFit="1" customWidth="1"/>
    <col min="2" max="2" width="16.5703125" customWidth="1"/>
    <col min="3" max="3" width="10.5703125" style="74" customWidth="1"/>
    <col min="4" max="10" width="10.5703125" customWidth="1"/>
    <col min="11" max="11" width="17.140625" style="80" customWidth="1"/>
    <col min="12" max="14" width="10.5703125" customWidth="1"/>
    <col min="15" max="15" width="10.5703125" style="80" customWidth="1"/>
    <col min="16" max="18" width="10.5703125" customWidth="1"/>
    <col min="19" max="19" width="10.5703125" style="80" customWidth="1"/>
    <col min="20" max="20" width="11.42578125" bestFit="1" customWidth="1"/>
    <col min="21" max="21" width="18.5703125" style="80" bestFit="1" customWidth="1"/>
    <col min="23" max="23" width="13.28515625" bestFit="1" customWidth="1"/>
  </cols>
  <sheetData>
    <row r="1" spans="1:23" s="1" customFormat="1" ht="24" thickBot="1" x14ac:dyDescent="0.4">
      <c r="A1" s="25" t="s">
        <v>0</v>
      </c>
      <c r="B1" s="10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04" t="s">
        <v>10</v>
      </c>
      <c r="L1" s="19" t="s">
        <v>11</v>
      </c>
      <c r="M1" s="19" t="s">
        <v>12</v>
      </c>
      <c r="N1" s="19" t="s">
        <v>13</v>
      </c>
      <c r="O1" s="104" t="s">
        <v>14</v>
      </c>
      <c r="P1" s="19" t="s">
        <v>15</v>
      </c>
      <c r="Q1" s="19" t="s">
        <v>16</v>
      </c>
      <c r="R1" s="19" t="s">
        <v>17</v>
      </c>
      <c r="S1" s="104" t="s">
        <v>18</v>
      </c>
      <c r="T1" s="19" t="s">
        <v>19</v>
      </c>
      <c r="U1" s="78" t="s">
        <v>20</v>
      </c>
    </row>
    <row r="2" spans="1:23" x14ac:dyDescent="0.25">
      <c r="A2" s="151" t="s">
        <v>21</v>
      </c>
      <c r="B2" s="152">
        <v>2522502</v>
      </c>
      <c r="C2" s="153"/>
      <c r="D2" s="153"/>
      <c r="E2" s="153"/>
      <c r="F2" s="154">
        <f>C2+D2+E2</f>
      </c>
      <c r="G2" s="153"/>
      <c r="H2" s="153"/>
      <c r="I2" s="153"/>
      <c r="J2" s="154">
        <f>G2+H2+I2</f>
      </c>
      <c r="K2" s="197">
        <f>(F2+J2)</f>
      </c>
      <c r="L2" s="153"/>
      <c r="M2" s="153"/>
      <c r="N2" s="153"/>
      <c r="O2" s="154">
        <f>L2+M2+N2</f>
      </c>
      <c r="P2" s="153"/>
      <c r="Q2" s="153"/>
      <c r="R2" s="153"/>
      <c r="S2" s="153"/>
      <c r="T2" s="153"/>
      <c r="U2" s="155"/>
    </row>
    <row r="3" spans="1:23" x14ac:dyDescent="0.25">
      <c r="A3" s="148" t="s">
        <v>22</v>
      </c>
      <c r="B3" s="157"/>
      <c r="C3" s="149"/>
      <c r="D3" s="149"/>
      <c r="E3" s="149"/>
      <c r="F3" s="150">
        <f>C3+D3+E3</f>
      </c>
      <c r="G3" s="149"/>
      <c r="H3" s="149"/>
      <c r="I3" s="149"/>
      <c r="J3" s="149">
        <f>G3+H3+I3</f>
      </c>
      <c r="K3" s="149">
        <f>(F3+J3)</f>
      </c>
      <c r="L3" s="149"/>
      <c r="M3" s="149"/>
      <c r="N3" s="149"/>
      <c r="O3" s="149">
        <f>L3+M3+N3</f>
      </c>
      <c r="P3" s="149"/>
      <c r="Q3" s="149"/>
      <c r="R3" s="149"/>
      <c r="S3" s="149">
        <f>P3+Q3+R3</f>
      </c>
      <c r="T3" s="149">
        <f>O3+S3</f>
      </c>
      <c r="U3" s="158">
        <f>K3+T3</f>
      </c>
    </row>
    <row r="4" spans="1:23" x14ac:dyDescent="0.25">
      <c r="A4" s="148" t="s">
        <v>23</v>
      </c>
      <c r="B4" s="157"/>
      <c r="C4" s="258">
        <f>C2/C3</f>
      </c>
      <c r="D4" s="258">
        <f t="shared" ref="D4:F4" si="0">D2/D3</f>
      </c>
      <c r="E4" s="258">
        <f t="shared" si="0"/>
        <v>1.4713397696323709</v>
      </c>
      <c r="F4" s="258">
        <f t="shared" si="0"/>
        <v>1.3219350126483058</v>
      </c>
      <c r="G4" s="258">
        <f>G2/G3</f>
      </c>
      <c r="H4" s="258">
        <f t="shared" ref="H4:J4" si="1">H2/H3</f>
      </c>
      <c r="I4" s="258">
        <f t="shared" si="1"/>
        <v>1.4579998112543862</v>
      </c>
      <c r="J4" s="258">
        <f t="shared" si="1"/>
        <v>1.633701565977824</v>
      </c>
      <c r="K4" s="196"/>
      <c r="L4" s="258">
        <f>L2/L3</f>
      </c>
      <c r="M4" s="258">
        <f t="shared" ref="M4:N4" si="2">M2/M3</f>
      </c>
      <c r="N4" s="258">
        <f t="shared" si="2"/>
        <v>1.6997284748839268</v>
      </c>
      <c r="O4" s="258">
        <f t="shared" ref="O4" si="3">O2/O3</f>
      </c>
      <c r="P4" s="149"/>
      <c r="Q4" s="149"/>
      <c r="R4" s="149"/>
      <c r="S4" s="149"/>
      <c r="T4" s="149"/>
      <c r="U4" s="158"/>
      <c r="W4" s="328"/>
    </row>
    <row r="5" spans="1:23" s="284" customFormat="1" x14ac:dyDescent="0.25">
      <c r="A5" s="273" t="s">
        <v>24</v>
      </c>
      <c r="B5" s="274"/>
      <c r="C5" s="275"/>
      <c r="D5" s="275"/>
      <c r="E5" s="275"/>
      <c r="F5" s="275"/>
      <c r="G5" s="275"/>
      <c r="H5" s="275"/>
      <c r="I5" s="275"/>
      <c r="J5" s="258">
        <f t="shared" ref="J5" si="4">J3/J4</f>
      </c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83"/>
    </row>
    <row r="6" spans="1:23" s="80" customFormat="1" x14ac:dyDescent="0.25">
      <c r="A6" s="278" t="s">
        <v>25</v>
      </c>
      <c r="B6" s="279"/>
      <c r="C6" s="196"/>
      <c r="D6" s="196"/>
      <c r="E6" s="196"/>
      <c r="F6" s="196"/>
      <c r="G6" s="196"/>
      <c r="H6" s="196"/>
      <c r="I6" s="196"/>
      <c r="J6" s="258">
        <f t="shared" ref="J6" si="5">J4/J5</f>
      </c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285"/>
      <c r="W6" s="293"/>
    </row>
    <row r="7" spans="1:23" s="289" customFormat="1" x14ac:dyDescent="0.25">
      <c r="A7" s="286" t="s">
        <v>26</v>
      </c>
      <c r="B7" s="287"/>
      <c r="C7" s="161">
        <f>C2/C9</f>
      </c>
      <c r="D7" s="161">
        <f t="shared" ref="D7:I7" si="6">D2/D9</f>
      </c>
      <c r="E7" s="161">
        <f t="shared" si="6"/>
        <v>46460.285714285717</v>
      </c>
      <c r="F7" s="161"/>
      <c r="G7" s="161">
        <f t="shared" si="6"/>
        <v>52038</v>
      </c>
      <c r="H7" s="161">
        <f t="shared" si="6"/>
        <v>68461</v>
      </c>
      <c r="I7" s="161">
        <f t="shared" si="6"/>
        <v>48555.142857142855</v>
      </c>
      <c r="J7" s="258">
        <f t="shared" ref="J7" si="7">J5/J6</f>
      </c>
      <c r="K7" s="161"/>
      <c r="L7" s="161">
        <f>L2/L9</f>
      </c>
      <c r="M7" s="161">
        <f t="shared" ref="M7:N7" si="8">M2/M9</f>
      </c>
      <c r="N7" s="161" t="e">
        <f t="shared" si="8"/>
        <v>#DIV/0!</v>
      </c>
      <c r="O7" s="161"/>
      <c r="P7" s="161"/>
      <c r="Q7" s="161"/>
      <c r="R7" s="161"/>
      <c r="S7" s="161"/>
      <c r="T7" s="161"/>
      <c r="U7" s="288"/>
      <c r="W7" s="289"/>
    </row>
    <row r="8" spans="1:23" s="293" customFormat="1" x14ac:dyDescent="0.25">
      <c r="A8" s="290" t="s">
        <v>27</v>
      </c>
      <c r="B8" s="291"/>
      <c r="C8" s="162"/>
      <c r="D8" s="162"/>
      <c r="E8" s="162"/>
      <c r="F8" s="162"/>
      <c r="G8" s="162"/>
      <c r="H8" s="162"/>
      <c r="I8" s="162"/>
      <c r="J8" s="258">
        <f t="shared" ref="J8" si="9">J6/J7</f>
      </c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292"/>
      <c r="W8" s="179">
        <f>W7/W6</f>
      </c>
    </row>
    <row r="9" spans="1:23" x14ac:dyDescent="0.25">
      <c r="A9" s="10" t="s">
        <v>28</v>
      </c>
      <c r="B9" s="126">
        <v>5.17</v>
      </c>
      <c r="C9" s="11"/>
      <c r="D9" s="11"/>
      <c r="E9" s="11"/>
      <c r="F9" s="54">
        <f>(C9+D9+E9)/3</f>
      </c>
      <c r="G9" s="11"/>
      <c r="H9" s="11"/>
      <c r="I9" s="11"/>
      <c r="J9" s="70">
        <f>(G9+H9+I9)/3</f>
      </c>
      <c r="K9" s="163">
        <f>(F9+J9)/2</f>
      </c>
      <c r="L9" s="11"/>
      <c r="M9" s="11"/>
      <c r="N9" s="11"/>
      <c r="O9" s="70">
        <f>(L9+M9+N9)/3</f>
      </c>
      <c r="P9" s="11"/>
      <c r="Q9" s="11"/>
      <c r="R9" s="11"/>
      <c r="S9" s="70">
        <f>(P9+Q9+R9)/3</f>
      </c>
      <c r="T9" s="76">
        <f>(O9+S9)/2</f>
      </c>
      <c r="U9" s="79">
        <f>(J9+T9)/2</f>
      </c>
    </row>
    <row r="10" spans="1:23" x14ac:dyDescent="0.25">
      <c r="A10" s="5" t="s">
        <v>29</v>
      </c>
      <c r="B10" s="118">
        <v>58219</v>
      </c>
      <c r="C10" s="37"/>
      <c r="D10" s="37"/>
      <c r="E10" s="37"/>
      <c r="F10" s="54">
        <f>(C10+D10+E10)/3</f>
      </c>
      <c r="G10" s="37"/>
      <c r="H10" s="37"/>
      <c r="I10" s="37"/>
      <c r="J10" s="70">
        <f t="shared" ref="J10:J13" si="10">(G10+H10+I10)/3</f>
      </c>
      <c r="K10" s="163">
        <f t="shared" ref="K10:K13" si="11">(F10+J10)/2</f>
      </c>
      <c r="L10" s="37"/>
      <c r="M10" s="37"/>
      <c r="N10" s="37"/>
      <c r="O10" s="70">
        <f t="shared" ref="O10:O13" si="12">(L10+M10+N10)/3</f>
      </c>
      <c r="P10" s="37"/>
      <c r="Q10" s="37"/>
      <c r="R10" s="37"/>
      <c r="S10" s="70">
        <f t="shared" ref="S10:S13" si="13">(P10+Q10+R10)/3</f>
      </c>
      <c r="T10" s="76">
        <f t="shared" ref="T10:T65" si="14">(O10+S10)/2</f>
      </c>
      <c r="U10" s="79">
        <f t="shared" ref="U10:U65" si="15">(J10+T10)/2</f>
      </c>
    </row>
    <row r="11" spans="1:23" x14ac:dyDescent="0.25">
      <c r="A11" s="5" t="s">
        <v>30</v>
      </c>
      <c r="B11" s="118">
        <v>78</v>
      </c>
      <c r="C11" s="3"/>
      <c r="D11" s="3"/>
      <c r="E11" s="3"/>
      <c r="F11" s="54">
        <f t="shared" ref="F11:F13" si="16">(C11+D11+E11)/3</f>
      </c>
      <c r="G11" s="3"/>
      <c r="H11" s="3"/>
      <c r="I11" s="3"/>
      <c r="J11" s="70">
        <f t="shared" si="10"/>
        <v>104.08333333333333</v>
      </c>
      <c r="K11" s="163">
        <f t="shared" si="11"/>
        <v>96</v>
      </c>
      <c r="L11" s="3"/>
      <c r="M11" s="3"/>
      <c r="N11" s="3"/>
      <c r="O11" s="70">
        <f t="shared" si="12"/>
        <v>84.916666666666671</v>
      </c>
      <c r="P11" s="3"/>
      <c r="Q11" s="3"/>
      <c r="R11" s="3"/>
      <c r="S11" s="70">
        <f t="shared" si="13"/>
        <v>0</v>
      </c>
      <c r="T11" s="76">
        <f t="shared" si="14"/>
        <v>42.458333333333336</v>
      </c>
      <c r="U11" s="79">
        <f t="shared" si="15"/>
        <v>73.270833333333329</v>
      </c>
    </row>
    <row r="12" spans="1:23" x14ac:dyDescent="0.25">
      <c r="A12" s="5" t="s">
        <v>31</v>
      </c>
      <c r="B12" s="118">
        <v>11751.54</v>
      </c>
      <c r="C12" s="29">
        <f>C10/C9</f>
      </c>
      <c r="D12" s="29">
        <f t="shared" ref="D12:I12" si="17">D10/D9</f>
      </c>
      <c r="E12" s="29">
        <f t="shared" si="17"/>
        <v>10635.857142857143</v>
      </c>
      <c r="F12" s="54">
        <f t="shared" si="16"/>
        <v>11179.174603174602</v>
      </c>
      <c r="G12" s="29">
        <f t="shared" si="17"/>
        <v>11551.285714285714</v>
      </c>
      <c r="H12" s="29">
        <f t="shared" si="17"/>
        <v>14561.5</v>
      </c>
      <c r="I12" s="29">
        <f t="shared" si="17"/>
        <v>12726.571428571429</v>
      </c>
      <c r="J12" s="70">
        <f t="shared" si="10"/>
        <v>12946.452380952382</v>
      </c>
      <c r="K12" s="163">
        <f t="shared" si="11"/>
        <v>12062.813492063491</v>
      </c>
      <c r="L12" s="29">
        <f t="shared" ref="L12:R12" si="18">L10/L9</f>
      </c>
      <c r="M12" s="29">
        <f t="shared" si="18"/>
        <v>12743.625</v>
      </c>
      <c r="N12" s="29" t="e">
        <f t="shared" si="18"/>
        <v>#DIV/0!</v>
      </c>
      <c r="O12" s="70" t="e">
        <f t="shared" si="12"/>
        <v>#DIV/0!</v>
      </c>
      <c r="P12" s="29" t="e">
        <f t="shared" si="18"/>
        <v>#DIV/0!</v>
      </c>
      <c r="Q12" s="29" t="e">
        <f t="shared" si="18"/>
        <v>#DIV/0!</v>
      </c>
      <c r="R12" s="29" t="e">
        <f t="shared" si="18"/>
        <v>#DIV/0!</v>
      </c>
      <c r="S12" s="70" t="e">
        <f t="shared" si="13"/>
        <v>#DIV/0!</v>
      </c>
      <c r="T12" s="76" t="e">
        <f t="shared" si="14"/>
        <v>#DIV/0!</v>
      </c>
      <c r="U12" s="79" t="e">
        <f t="shared" si="15"/>
        <v>#DIV/0!</v>
      </c>
    </row>
    <row r="13" spans="1:23" ht="15.75" thickBot="1" x14ac:dyDescent="0.3">
      <c r="A13" s="81" t="s">
        <v>32</v>
      </c>
      <c r="B13" s="127">
        <v>746.4</v>
      </c>
      <c r="C13" s="82">
        <f>C10/C11</f>
      </c>
      <c r="D13" s="82">
        <f>D10/D11</f>
      </c>
      <c r="E13" s="82">
        <f>E10/E11</f>
      </c>
      <c r="F13" s="54">
        <f t="shared" si="16"/>
        <v>803.72546237575443</v>
      </c>
      <c r="G13" s="82">
        <f>G10/G11</f>
      </c>
      <c r="H13" s="82">
        <f>H10/H11</f>
      </c>
      <c r="I13" s="82">
        <f>I10/I11</f>
      </c>
      <c r="J13" s="83">
        <f t="shared" si="10"/>
        <v>823.84106778506384</v>
      </c>
      <c r="K13" s="163">
        <f t="shared" si="11"/>
        <v>813.78326508040914</v>
      </c>
      <c r="L13" s="82">
        <f>L10/L11</f>
      </c>
      <c r="M13" s="82">
        <f>M10/M11</f>
      </c>
      <c r="N13" s="82" t="e">
        <f>N10/N11</f>
      </c>
      <c r="O13" s="83" t="e">
        <f t="shared" si="12"/>
        <v>#DIV/0!</v>
      </c>
      <c r="P13" s="82" t="e">
        <f>P10/P11</f>
      </c>
      <c r="Q13" s="82" t="e">
        <f>Q10/Q11</f>
      </c>
      <c r="R13" s="82" t="e">
        <f>R10/R11</f>
      </c>
      <c r="S13" s="83" t="e">
        <f t="shared" si="13"/>
        <v>#DIV/0!</v>
      </c>
      <c r="T13" s="84" t="e">
        <f t="shared" si="14"/>
        <v>#DIV/0!</v>
      </c>
      <c r="U13" s="85" t="e">
        <f t="shared" si="15"/>
        <v>#DIV/0!</v>
      </c>
    </row>
    <row r="14" spans="1:23" ht="15.75" thickBot="1" x14ac:dyDescent="0.3">
      <c r="A14" s="92"/>
      <c r="B14" s="123"/>
      <c r="C14" s="93"/>
      <c r="D14" s="93"/>
      <c r="E14" s="93"/>
      <c r="F14" s="94"/>
      <c r="G14" s="93"/>
      <c r="H14" s="93"/>
      <c r="I14" s="93"/>
      <c r="J14" s="95"/>
      <c r="K14" s="95"/>
      <c r="L14" s="93"/>
      <c r="M14" s="93"/>
      <c r="N14" s="93"/>
      <c r="O14" s="95"/>
      <c r="P14" s="93"/>
      <c r="Q14" s="93"/>
      <c r="R14" s="93"/>
      <c r="S14" s="95"/>
      <c r="T14" s="95"/>
      <c r="U14" s="96"/>
    </row>
    <row r="15" spans="1:23" x14ac:dyDescent="0.25">
      <c r="A15" s="10" t="s">
        <v>33</v>
      </c>
      <c r="B15" s="128">
        <v>0.56000000000000005</v>
      </c>
      <c r="C15" s="90"/>
      <c r="D15" s="90">
        <f>(D26/C24)-1</f>
      </c>
      <c r="E15" s="90">
        <f>(E26/D24)-1</f>
      </c>
      <c r="F15" s="42">
        <f>(C15+D15+E15)/3</f>
      </c>
      <c r="G15" s="90">
        <f>(G26/E23)-1</f>
      </c>
      <c r="H15" s="90">
        <f>(H26/G23)-1</f>
      </c>
      <c r="I15" s="90">
        <f>(I26/H23)-1</f>
      </c>
      <c r="J15" s="99">
        <f>(G15+H15+I15)/3</f>
      </c>
      <c r="K15" s="163">
        <f>(F15+J15)/2</f>
      </c>
      <c r="L15" s="90">
        <f>(L26/I23)-1</f>
      </c>
      <c r="M15" s="90"/>
      <c r="N15" s="90"/>
      <c r="O15" s="99">
        <f>(L15+M15+N15)/3</f>
      </c>
      <c r="P15" s="90"/>
      <c r="Q15" s="90"/>
      <c r="R15" s="90"/>
      <c r="S15" s="70">
        <f>(P15+Q15+R15)/3</f>
      </c>
      <c r="T15" s="77">
        <f t="shared" si="14"/>
        <v>-8.086598630884885E-2</v>
      </c>
      <c r="U15" s="102">
        <f t="shared" si="15"/>
        <v>-0.36522808889359526</v>
      </c>
    </row>
    <row r="16" spans="1:23" x14ac:dyDescent="0.25">
      <c r="A16" s="5" t="s">
        <v>34</v>
      </c>
      <c r="B16" s="118">
        <v>1</v>
      </c>
      <c r="C16" s="3"/>
      <c r="D16" s="3"/>
      <c r="E16" s="3"/>
      <c r="F16" s="54">
        <f t="shared" ref="F16:F17" si="19">(C16+D16+E16)/3</f>
      </c>
      <c r="G16" s="3"/>
      <c r="H16" s="3"/>
      <c r="I16" s="3"/>
      <c r="J16" s="70">
        <f t="shared" ref="J16:J17" si="20">(G16+H16+I16)/3</f>
      </c>
      <c r="K16" s="163">
        <f t="shared" ref="K16:K17" si="21">(F16+J16)/2</f>
      </c>
      <c r="L16" s="3"/>
      <c r="M16" s="3"/>
      <c r="N16" s="3"/>
      <c r="O16" s="70">
        <f t="shared" ref="O16:O17" si="22">(L16+M16+N16)/3</f>
      </c>
      <c r="P16" s="3"/>
      <c r="Q16" s="3"/>
      <c r="R16" s="3"/>
      <c r="S16" s="70">
        <f t="shared" ref="S16:S17" si="23">(P16+Q16+R16)/3</f>
      </c>
      <c r="T16" s="76">
        <f t="shared" si="14"/>
        <v>0</v>
      </c>
      <c r="U16" s="79">
        <f t="shared" si="15"/>
        <v>0</v>
      </c>
    </row>
    <row r="17" spans="1:99" ht="15.75" thickBot="1" x14ac:dyDescent="0.3">
      <c r="A17" s="81" t="s">
        <v>35</v>
      </c>
      <c r="B17" s="198">
        <v>651</v>
      </c>
      <c r="C17" s="218"/>
      <c r="D17" s="56"/>
      <c r="E17" s="218"/>
      <c r="F17" s="54">
        <f t="shared" si="19"/>
        <v>899</v>
      </c>
      <c r="G17" s="56"/>
      <c r="H17" s="56"/>
      <c r="I17" s="56"/>
      <c r="J17" s="70">
        <f t="shared" si="20"/>
        <v>0</v>
      </c>
      <c r="K17" s="163">
        <f t="shared" si="21"/>
        <v>449.5</v>
      </c>
      <c r="L17" s="56"/>
      <c r="M17" s="56"/>
      <c r="N17" s="56"/>
      <c r="O17" s="70">
        <f t="shared" si="22"/>
        <v>0</v>
      </c>
      <c r="P17" s="56"/>
      <c r="Q17" s="56"/>
      <c r="R17" s="56"/>
      <c r="S17" s="83">
        <f t="shared" si="23"/>
        <v>0</v>
      </c>
      <c r="T17" s="84">
        <f t="shared" si="14"/>
        <v>0</v>
      </c>
      <c r="U17" s="85">
        <f t="shared" si="15"/>
        <v>0</v>
      </c>
    </row>
    <row r="18" spans="1:99" ht="15.75" thickBot="1" x14ac:dyDescent="0.3">
      <c r="A18" s="92"/>
      <c r="B18" s="123"/>
      <c r="C18" s="93"/>
      <c r="D18" s="93"/>
      <c r="E18" s="93"/>
      <c r="F18" s="94"/>
      <c r="G18" s="93"/>
      <c r="H18" s="93"/>
      <c r="I18" s="93"/>
      <c r="J18" s="95"/>
      <c r="K18" s="95"/>
      <c r="L18" s="93"/>
      <c r="M18" s="93"/>
      <c r="N18" s="93"/>
      <c r="O18" s="95"/>
      <c r="P18" s="93"/>
      <c r="Q18" s="93"/>
      <c r="R18" s="93"/>
      <c r="S18" s="95"/>
      <c r="T18" s="95"/>
      <c r="U18" s="96"/>
    </row>
    <row r="19" spans="1:99" x14ac:dyDescent="0.25">
      <c r="A19" s="159" t="s">
        <v>36</v>
      </c>
      <c r="B19" s="126"/>
      <c r="C19" s="91">
        <f t="shared" ref="C19" si="24">(C10+C21)-C24</f>
      </c>
      <c r="D19" s="91">
        <f>(D10+D21)-D24</f>
      </c>
      <c r="E19" s="91">
        <f>(E10+E21)-E24</f>
      </c>
      <c r="F19" s="54">
        <f>(C19+D19+E19)/3</f>
      </c>
      <c r="G19" s="91">
        <f>(G10+G21)-G24</f>
      </c>
      <c r="H19" s="91">
        <f>(H10+H21)-H24</f>
      </c>
      <c r="I19" s="91">
        <f>(I10+I21)-I24</f>
      </c>
      <c r="J19" s="70">
        <f t="shared" ref="J19:J28" si="25">(G19+H19+I19)/3</f>
      </c>
      <c r="K19" s="163">
        <f>(F19+J19)/2</f>
      </c>
      <c r="L19" s="91">
        <f>(L10+L20)-L24</f>
      </c>
      <c r="M19" s="91">
        <f>(M10+M21)-M24</f>
      </c>
      <c r="N19" s="91">
        <f>(M10+M20)-M24</f>
      </c>
      <c r="O19" s="70">
        <f t="shared" ref="O19:O28" si="26">(L19+M19+N19)/3</f>
      </c>
      <c r="P19" s="91">
        <f>(P10+P21)-P24</f>
      </c>
      <c r="Q19" s="91">
        <f>(Q10+Q21)-Q24</f>
      </c>
      <c r="R19" s="91">
        <f>(R10+R21)-R24</f>
      </c>
      <c r="S19" s="70">
        <f>(P19+Q19+R19)/3</f>
      </c>
      <c r="T19" s="76">
        <f t="shared" si="14"/>
        <v>50179</v>
      </c>
      <c r="U19" s="79">
        <f t="shared" si="15"/>
        <v>68910.083333333343</v>
      </c>
    </row>
    <row r="20" spans="1:99" x14ac:dyDescent="0.25">
      <c r="A20" s="10" t="s">
        <v>37</v>
      </c>
      <c r="B20" s="126">
        <v>4.58</v>
      </c>
      <c r="C20" s="11"/>
      <c r="D20" s="11"/>
      <c r="E20" s="11"/>
      <c r="F20" s="54">
        <f>(C20+D20+E20)/3</f>
      </c>
      <c r="G20" s="11"/>
      <c r="H20" s="11"/>
      <c r="I20" s="11"/>
      <c r="J20" s="70">
        <f t="shared" ref="J20" si="27">(G20+H20+I20)/3</f>
      </c>
      <c r="K20" s="163">
        <f>(F20+J20)/2</f>
      </c>
      <c r="L20" s="312"/>
      <c r="M20" s="11"/>
      <c r="N20" s="11"/>
      <c r="O20" s="70">
        <f t="shared" ref="O20" si="28">(L20+M20+N20)/3</f>
      </c>
      <c r="P20" s="11"/>
      <c r="Q20" s="11"/>
      <c r="R20" s="11"/>
      <c r="S20" s="70">
        <f>(P20+Q20+R20)/3</f>
      </c>
      <c r="T20" s="76">
        <f t="shared" ref="T20" si="29">(O20+S20)/2</f>
      </c>
      <c r="U20" s="79">
        <f t="shared" ref="U20" si="30">(J20+T20)/2</f>
      </c>
    </row>
    <row r="21" spans="1:99" x14ac:dyDescent="0.25">
      <c r="A21" s="5" t="s">
        <v>38</v>
      </c>
      <c r="B21" s="199">
        <v>3588</v>
      </c>
      <c r="C21" s="167"/>
      <c r="D21" s="167"/>
      <c r="E21" s="167"/>
      <c r="F21" s="54">
        <f t="shared" ref="F21:F28" si="31">(C21+D21+E21)/3</f>
      </c>
      <c r="G21" s="167"/>
      <c r="H21" s="296"/>
      <c r="I21" s="167"/>
      <c r="J21" s="70">
        <f t="shared" si="25"/>
        <v>3661.5</v>
      </c>
      <c r="K21" s="163">
        <f t="shared" ref="K21:K28" si="32">(F21+J21)/2</f>
      </c>
      <c r="L21" s="3"/>
      <c r="M21" s="3"/>
      <c r="N21" s="3"/>
      <c r="O21" s="70">
        <f t="shared" si="26"/>
        <v>5.666666666666667</v>
      </c>
      <c r="P21" s="167"/>
      <c r="Q21" s="167"/>
      <c r="R21" s="37"/>
      <c r="S21" s="70">
        <f t="shared" ref="S21:S28" si="33">(P21+Q21+R21)/3</f>
      </c>
      <c r="T21" s="76">
        <f t="shared" si="14"/>
        <v>2.8333333333333335</v>
      </c>
      <c r="U21" s="79">
        <f t="shared" si="15"/>
        <v>1832.1666666666667</v>
      </c>
    </row>
    <row r="22" spans="1:99" x14ac:dyDescent="0.25">
      <c r="A22" s="5" t="s">
        <v>39</v>
      </c>
      <c r="B22" s="118">
        <v>13.83</v>
      </c>
      <c r="C22" s="3"/>
      <c r="D22" s="3"/>
      <c r="E22" s="3"/>
      <c r="F22" s="54">
        <f t="shared" si="31"/>
        <v>11</v>
      </c>
      <c r="G22" s="3"/>
      <c r="H22" s="3"/>
      <c r="I22" s="3"/>
      <c r="J22" s="70">
        <f t="shared" si="25"/>
        <v>11.333333333333334</v>
      </c>
      <c r="K22" s="163">
        <f t="shared" si="32"/>
        <v>11.166666666666668</v>
      </c>
      <c r="L22" s="3"/>
      <c r="M22" s="3"/>
      <c r="N22" s="3"/>
      <c r="O22" s="70">
        <f t="shared" si="26"/>
        <v>10.666666666666666</v>
      </c>
      <c r="P22" s="3"/>
      <c r="Q22" s="3"/>
      <c r="R22" s="3"/>
      <c r="S22" s="70">
        <f t="shared" si="33"/>
        <v>0</v>
      </c>
      <c r="T22" s="76">
        <f t="shared" si="14"/>
        <v>5.333333333333333</v>
      </c>
      <c r="U22" s="79">
        <f t="shared" si="15"/>
        <v>8.3333333333333339</v>
      </c>
    </row>
    <row r="23" spans="1:99" x14ac:dyDescent="0.25">
      <c r="A23" s="5" t="s">
        <v>40</v>
      </c>
      <c r="B23" s="199">
        <v>8509</v>
      </c>
      <c r="C23" s="167"/>
      <c r="D23" s="167"/>
      <c r="E23" s="167"/>
      <c r="F23" s="54">
        <f t="shared" si="31"/>
        <v>6939.333333333333</v>
      </c>
      <c r="G23" s="167"/>
      <c r="H23" s="167"/>
      <c r="I23" s="167"/>
      <c r="J23" s="70">
        <f t="shared" si="25"/>
        <v>8109.333333333333</v>
      </c>
      <c r="K23" s="163">
        <f t="shared" si="32"/>
        <v>7524.333333333333</v>
      </c>
      <c r="L23" s="3"/>
      <c r="M23" s="3"/>
      <c r="N23" s="3"/>
      <c r="O23" s="70">
        <f t="shared" si="26"/>
        <v>8044</v>
      </c>
      <c r="P23" s="3"/>
      <c r="Q23" s="3"/>
      <c r="R23" s="3"/>
      <c r="S23" s="70">
        <f t="shared" si="33"/>
        <v>0</v>
      </c>
      <c r="T23" s="76">
        <f t="shared" si="14"/>
        <v>4022</v>
      </c>
      <c r="U23" s="79">
        <f t="shared" si="15"/>
        <v>6065.6666666666661</v>
      </c>
    </row>
    <row r="24" spans="1:99" x14ac:dyDescent="0.25">
      <c r="A24" s="5" t="s">
        <v>41</v>
      </c>
      <c r="B24" s="199">
        <v>3302</v>
      </c>
      <c r="C24" s="167"/>
      <c r="D24" s="3"/>
      <c r="E24" s="3"/>
      <c r="F24" s="54">
        <f t="shared" si="31"/>
        <v>2708</v>
      </c>
      <c r="G24" s="3"/>
      <c r="H24" s="3"/>
      <c r="I24" s="3"/>
      <c r="J24" s="70">
        <f t="shared" si="25"/>
        <v>1791.6666666666667</v>
      </c>
      <c r="K24" s="163">
        <f t="shared" si="32"/>
        <v>2249.8333333333335</v>
      </c>
      <c r="L24" s="167"/>
      <c r="M24" s="3"/>
      <c r="N24" s="3"/>
      <c r="O24" s="70">
        <f t="shared" si="26"/>
        <v>2268.6666666666665</v>
      </c>
      <c r="P24" s="3"/>
      <c r="Q24" s="3"/>
      <c r="R24" s="3"/>
      <c r="S24" s="70">
        <f t="shared" si="33"/>
        <v>0</v>
      </c>
      <c r="T24" s="76">
        <f t="shared" si="14"/>
        <v>1134.3333333333333</v>
      </c>
      <c r="U24" s="79">
        <f t="shared" si="15"/>
        <v>1463</v>
      </c>
    </row>
    <row r="25" spans="1:99" x14ac:dyDescent="0.25">
      <c r="A25" s="5" t="s">
        <v>42</v>
      </c>
      <c r="B25" s="118">
        <v>7.83</v>
      </c>
      <c r="C25" s="3"/>
      <c r="D25" s="3"/>
      <c r="E25" s="3"/>
      <c r="F25" s="54">
        <f t="shared" si="31"/>
        <v>7.333333333333333</v>
      </c>
      <c r="G25" s="3"/>
      <c r="H25" s="3"/>
      <c r="I25" s="3"/>
      <c r="J25" s="70">
        <f t="shared" si="25"/>
        <v>3.6666666666666665</v>
      </c>
      <c r="K25" s="163">
        <f t="shared" si="32"/>
        <v>5.5</v>
      </c>
      <c r="L25" s="3"/>
      <c r="M25" s="3"/>
      <c r="N25" s="3"/>
      <c r="O25" s="70">
        <f t="shared" si="26"/>
        <v>4.333333333333333</v>
      </c>
      <c r="P25" s="3"/>
      <c r="Q25" s="3"/>
      <c r="R25" s="3"/>
      <c r="S25" s="70">
        <f t="shared" si="33"/>
        <v>0</v>
      </c>
      <c r="T25" s="76">
        <f t="shared" si="14"/>
        <v>2.1666666666666665</v>
      </c>
      <c r="U25" s="79">
        <f t="shared" si="15"/>
        <v>2.9166666666666665</v>
      </c>
    </row>
    <row r="26" spans="1:99" x14ac:dyDescent="0.25">
      <c r="A26" s="5" t="s">
        <v>43</v>
      </c>
      <c r="B26" s="199">
        <v>3475</v>
      </c>
      <c r="C26" s="167"/>
      <c r="D26" s="167"/>
      <c r="E26" s="167"/>
      <c r="F26" s="54">
        <f t="shared" si="31"/>
        <v>4484.666666666667</v>
      </c>
      <c r="G26" s="167"/>
      <c r="H26" s="167"/>
      <c r="I26" s="167"/>
      <c r="J26" s="70">
        <f t="shared" si="25"/>
        <v>3121.6666666666665</v>
      </c>
      <c r="K26" s="163">
        <f t="shared" si="32"/>
        <v>3803.166666666667</v>
      </c>
      <c r="L26" s="3"/>
      <c r="M26" s="3"/>
      <c r="N26" s="3"/>
      <c r="O26" s="70">
        <f t="shared" si="26"/>
        <v>2593.3333333333335</v>
      </c>
      <c r="P26" s="3"/>
      <c r="Q26" s="3"/>
      <c r="R26" s="3"/>
      <c r="S26" s="70">
        <f t="shared" si="33"/>
        <v>0</v>
      </c>
      <c r="T26" s="76">
        <f t="shared" si="14"/>
        <v>1296.6666666666667</v>
      </c>
      <c r="U26" s="79">
        <f t="shared" si="15"/>
        <v>2209.1666666666665</v>
      </c>
    </row>
    <row r="27" spans="1:99" x14ac:dyDescent="0.25">
      <c r="A27" s="5" t="s">
        <v>44</v>
      </c>
      <c r="B27" s="129">
        <v>0.44</v>
      </c>
      <c r="C27" s="41"/>
      <c r="D27" s="41"/>
      <c r="E27" s="41"/>
      <c r="F27" s="54">
        <f t="shared" si="31"/>
        <v>0.44333333333333336</v>
      </c>
      <c r="G27" s="41"/>
      <c r="H27" s="41"/>
      <c r="I27" s="41"/>
      <c r="J27" s="70">
        <f t="shared" si="25"/>
        <v>0.43999999999999995</v>
      </c>
      <c r="K27" s="163">
        <f t="shared" si="32"/>
        <v>0.44166666666666665</v>
      </c>
      <c r="L27" s="41"/>
      <c r="M27" s="41"/>
      <c r="N27" s="41"/>
      <c r="O27" s="70">
        <f t="shared" si="26"/>
        <v>0.31333333333333335</v>
      </c>
      <c r="P27" s="41"/>
      <c r="Q27" s="41"/>
      <c r="R27" s="41"/>
      <c r="S27" s="70">
        <f t="shared" si="33"/>
        <v>0</v>
      </c>
      <c r="T27" s="76">
        <f t="shared" si="14"/>
        <v>0.15666666666666668</v>
      </c>
      <c r="U27" s="79">
        <f t="shared" si="15"/>
        <v>0.29833333333333334</v>
      </c>
    </row>
    <row r="28" spans="1:99" ht="15.75" thickBot="1" x14ac:dyDescent="0.3">
      <c r="A28" s="81" t="s">
        <v>45</v>
      </c>
      <c r="B28" s="130">
        <v>6.4600000000000005E-2</v>
      </c>
      <c r="C28" s="88">
        <f>C26/C10</f>
      </c>
      <c r="D28" s="88">
        <f t="shared" ref="C28:H28" si="34">D26/D10</f>
      </c>
      <c r="E28" s="88">
        <f t="shared" si="34"/>
        <v>5.8642597144430562E-2</v>
      </c>
      <c r="F28" s="105">
        <f t="shared" si="31"/>
        <v>6.364665003781525E-2</v>
      </c>
      <c r="G28" s="88">
        <f t="shared" si="34"/>
        <v>6.0092259365067589E-2</v>
      </c>
      <c r="H28" s="88">
        <f t="shared" si="34"/>
        <v>1.8233011708958555E-2</v>
      </c>
      <c r="I28" s="88">
        <f>I26/I10</f>
      </c>
      <c r="J28" s="73">
        <f t="shared" si="25"/>
        <v>3.70080038722908E-2</v>
      </c>
      <c r="K28" s="164">
        <f t="shared" si="32"/>
        <v>5.0327326955053028E-2</v>
      </c>
      <c r="L28" s="88">
        <f>L26/L10</f>
      </c>
      <c r="M28" s="88">
        <f>M26/M10</f>
      </c>
      <c r="N28" s="88" t="e">
        <f>N26/N10</f>
      </c>
      <c r="O28" s="165" t="e">
        <f t="shared" si="26"/>
        <v>#DIV/0!</v>
      </c>
      <c r="P28" s="88" t="e">
        <f>P26/P10</f>
      </c>
      <c r="Q28" s="88" t="e">
        <f>Q26/Q10</f>
      </c>
      <c r="R28" s="88" t="e">
        <f>R26/R10</f>
      </c>
      <c r="S28" s="83" t="e">
        <f t="shared" si="33"/>
        <v>#DIV/0!</v>
      </c>
      <c r="T28" s="89" t="e">
        <f t="shared" si="14"/>
        <v>#DIV/0!</v>
      </c>
      <c r="U28" s="103" t="e">
        <f t="shared" si="15"/>
        <v>#DIV/0!</v>
      </c>
    </row>
    <row r="29" spans="1:99" ht="15.75" thickBot="1" x14ac:dyDescent="0.3">
      <c r="A29" s="58"/>
      <c r="B29" s="59"/>
      <c r="C29" s="59"/>
      <c r="D29" s="59"/>
      <c r="E29" s="59"/>
      <c r="F29" s="94"/>
      <c r="G29" s="59"/>
      <c r="H29" s="59"/>
      <c r="I29" s="59"/>
      <c r="J29" s="97"/>
      <c r="K29" s="97"/>
      <c r="L29" s="59"/>
      <c r="M29" s="59"/>
      <c r="N29" s="59"/>
      <c r="O29" s="97"/>
      <c r="P29" s="59"/>
      <c r="Q29" s="59"/>
      <c r="R29" s="59"/>
      <c r="S29" s="97"/>
      <c r="T29" s="95"/>
      <c r="U29" s="96"/>
    </row>
    <row r="30" spans="1:99" s="1" customFormat="1" ht="23.25" x14ac:dyDescent="0.35">
      <c r="A30" s="55" t="s">
        <v>46</v>
      </c>
      <c r="B30" s="124"/>
      <c r="C30" s="12"/>
      <c r="D30" s="12"/>
      <c r="E30" s="12"/>
      <c r="F30" s="57"/>
      <c r="G30" s="12"/>
      <c r="H30" s="12"/>
      <c r="I30" s="12"/>
      <c r="J30" s="70"/>
      <c r="K30" s="163"/>
      <c r="L30" s="12"/>
      <c r="M30" s="12"/>
      <c r="N30" s="12"/>
      <c r="O30" s="70"/>
      <c r="P30" s="12"/>
      <c r="Q30" s="12"/>
      <c r="R30" s="12"/>
      <c r="S30" s="70"/>
      <c r="T30" s="76"/>
      <c r="U30" s="79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</row>
    <row r="31" spans="1:99" x14ac:dyDescent="0.25">
      <c r="A31" s="5" t="s">
        <v>47</v>
      </c>
      <c r="B31" s="118">
        <v>6.58</v>
      </c>
      <c r="C31" s="3"/>
      <c r="D31" s="3"/>
      <c r="E31" s="3"/>
      <c r="F31" s="54">
        <f>(C31+D31+E31)/3</f>
      </c>
      <c r="G31" s="3"/>
      <c r="H31" s="3"/>
      <c r="I31" s="3"/>
      <c r="J31" s="70">
        <f t="shared" ref="J31:J38" si="35">(G31+H31+I31)/3</f>
      </c>
      <c r="K31" s="163">
        <f>(F31+J31)/2</f>
      </c>
      <c r="L31" s="3"/>
      <c r="M31" s="3"/>
      <c r="N31" s="3"/>
      <c r="O31" s="70">
        <f t="shared" ref="O31:O38" si="36">(L31+M31+N31)/3</f>
      </c>
      <c r="P31" s="3"/>
      <c r="Q31" s="3"/>
      <c r="R31" s="3"/>
      <c r="S31" s="70">
        <f>(P31+Q31+R31)/3</f>
      </c>
      <c r="T31" s="76">
        <f t="shared" si="14"/>
        <v>4.333333333333333</v>
      </c>
      <c r="U31" s="134">
        <f t="shared" si="15"/>
        <v>6.6666666666666661</v>
      </c>
    </row>
    <row r="32" spans="1:99" x14ac:dyDescent="0.25">
      <c r="A32" s="5" t="s">
        <v>48</v>
      </c>
      <c r="B32" s="200">
        <v>4843.67</v>
      </c>
      <c r="C32" s="37"/>
      <c r="D32" s="37"/>
      <c r="E32" s="37"/>
      <c r="F32" s="54">
        <f t="shared" ref="F32:F38" si="37">(C32+D32+E32)/3</f>
      </c>
      <c r="G32" s="37"/>
      <c r="H32" s="37"/>
      <c r="I32" s="37"/>
      <c r="J32" s="70">
        <f t="shared" si="35"/>
        <v>6894.333333333333</v>
      </c>
      <c r="K32" s="163">
        <f t="shared" ref="K32:K38" si="38">(F32+J32)/2</f>
      </c>
      <c r="L32" s="37"/>
      <c r="M32" s="37"/>
      <c r="N32" s="37"/>
      <c r="O32" s="70">
        <f t="shared" si="36"/>
        <v>6868</v>
      </c>
      <c r="P32" s="37"/>
      <c r="Q32" s="37"/>
      <c r="R32" s="37"/>
      <c r="S32" s="70">
        <f t="shared" ref="S32:S38" si="39">(P32+Q32+R32)/3</f>
      </c>
      <c r="T32" s="76">
        <f t="shared" si="14"/>
        <v>3434</v>
      </c>
      <c r="U32" s="134">
        <f t="shared" si="15"/>
        <v>5164.1666666666661</v>
      </c>
    </row>
    <row r="33" spans="1:99" x14ac:dyDescent="0.25">
      <c r="A33" s="5" t="s">
        <v>49</v>
      </c>
      <c r="B33" s="200">
        <v>723.31</v>
      </c>
      <c r="C33" s="37">
        <f>C32/C31</f>
      </c>
      <c r="D33" s="37">
        <f>D32/D31</f>
      </c>
      <c r="E33" s="37">
        <f>E32/E31</f>
      </c>
      <c r="F33" s="54">
        <f t="shared" si="37"/>
        <v>830.41780499711524</v>
      </c>
      <c r="G33" s="37">
        <f>G32/G31</f>
      </c>
      <c r="H33" s="37">
        <f>H32/H31</f>
      </c>
      <c r="I33" s="37">
        <f>I32/I31</f>
      </c>
      <c r="J33" s="70">
        <f t="shared" si="35"/>
        <v>764.89722222222224</v>
      </c>
      <c r="K33" s="163">
        <f t="shared" si="38"/>
        <v>797.65751360966874</v>
      </c>
      <c r="L33" s="37">
        <f>L32/L31</f>
      </c>
      <c r="M33" s="37">
        <f>M32/M31</f>
      </c>
      <c r="N33" s="37" t="e">
        <f>N32/N31</f>
      </c>
      <c r="O33" s="70" t="e">
        <f t="shared" si="36"/>
        <v>#DIV/0!</v>
      </c>
      <c r="P33" s="37" t="e">
        <f>P32/P31</f>
      </c>
      <c r="Q33" s="37" t="e">
        <f>Q32/Q31</f>
      </c>
      <c r="R33" s="37" t="e">
        <f>R32/R31</f>
      </c>
      <c r="S33" s="70" t="e">
        <f t="shared" si="39"/>
        <v>#DIV/0!</v>
      </c>
      <c r="T33" s="76" t="e">
        <f t="shared" si="14"/>
        <v>#DIV/0!</v>
      </c>
      <c r="U33" s="134" t="e">
        <f t="shared" si="15"/>
        <v>#DIV/0!</v>
      </c>
    </row>
    <row r="34" spans="1:99" x14ac:dyDescent="0.25">
      <c r="A34" s="5" t="s">
        <v>50</v>
      </c>
      <c r="B34" s="118">
        <v>1.22</v>
      </c>
      <c r="C34" s="52">
        <f>C31/C9</f>
      </c>
      <c r="D34" s="52">
        <f t="shared" ref="D34:E34" si="40">D31/D9</f>
      </c>
      <c r="E34" s="3">
        <f t="shared" si="40"/>
        <v>2.5</v>
      </c>
      <c r="F34" s="160">
        <f t="shared" si="37"/>
        <v>1.75</v>
      </c>
      <c r="G34" s="52">
        <f>G31/G9</f>
      </c>
      <c r="H34" s="52">
        <f t="shared" ref="H34:I34" si="41">H31/H9</f>
      </c>
      <c r="I34" s="52">
        <f t="shared" si="41"/>
        <v>1.2857142857142858</v>
      </c>
      <c r="J34" s="70">
        <f t="shared" si="35"/>
        <v>1.3492063492063491</v>
      </c>
      <c r="K34" s="163">
        <f t="shared" si="38"/>
        <v>1.5496031746031744</v>
      </c>
      <c r="L34" s="52">
        <f>L31/L9</f>
      </c>
      <c r="M34" s="52">
        <f>M31/M9</f>
      </c>
      <c r="N34" s="52" t="e">
        <f>N31/N9</f>
      </c>
      <c r="O34" s="70" t="e">
        <f t="shared" si="36"/>
        <v>#DIV/0!</v>
      </c>
      <c r="P34" s="52" t="e">
        <f>P31/P9</f>
      </c>
      <c r="Q34" s="52" t="e">
        <f>Q31/Q9</f>
      </c>
      <c r="R34" s="52" t="e">
        <f>R31/R2</f>
      </c>
      <c r="S34" s="70" t="e">
        <f t="shared" si="39"/>
        <v>#DIV/0!</v>
      </c>
      <c r="T34" s="76" t="e">
        <f t="shared" si="14"/>
        <v>#DIV/0!</v>
      </c>
      <c r="U34" s="134" t="e">
        <f t="shared" si="15"/>
        <v>#DIV/0!</v>
      </c>
    </row>
    <row r="35" spans="1:99" x14ac:dyDescent="0.25">
      <c r="A35" s="5" t="s">
        <v>51</v>
      </c>
      <c r="B35" s="200">
        <v>774.84</v>
      </c>
      <c r="C35" s="37">
        <f>C32/C9</f>
      </c>
      <c r="D35" s="37">
        <f t="shared" ref="D35:E35" si="42">D32/D9</f>
      </c>
      <c r="E35" s="37">
        <f t="shared" si="42"/>
        <v>1808.1428571428571</v>
      </c>
      <c r="F35" s="54">
        <f t="shared" si="37"/>
        <v>1413.6587301587299</v>
      </c>
      <c r="G35" s="37">
        <f>G32/G9</f>
      </c>
      <c r="H35" s="37">
        <f t="shared" ref="H35:I35" si="43">H32/H9</f>
      </c>
      <c r="I35" s="37">
        <f t="shared" si="43"/>
        <v>1044.8571428571429</v>
      </c>
      <c r="J35" s="70">
        <f>(G35+H35+I35)/3</f>
      </c>
      <c r="K35" s="163">
        <f>(F35+J35)/2</f>
      </c>
      <c r="L35" s="37">
        <f>L32/L9</f>
      </c>
      <c r="M35" s="37">
        <f>M32/M9</f>
      </c>
      <c r="N35" s="37" t="e">
        <f>N32/N9</f>
      </c>
      <c r="O35" s="70" t="e">
        <f t="shared" si="36"/>
        <v>#DIV/0!</v>
      </c>
      <c r="P35" s="37" t="e">
        <f>P32/P2</f>
      </c>
      <c r="Q35" s="37" t="e">
        <f>Q32/Q9</f>
      </c>
      <c r="R35" s="37" t="e">
        <f>R32/R2</f>
      </c>
      <c r="S35" s="70" t="e">
        <f t="shared" si="39"/>
        <v>#DIV/0!</v>
      </c>
      <c r="T35" s="76" t="e">
        <f t="shared" si="14"/>
        <v>#DIV/0!</v>
      </c>
      <c r="U35" s="134" t="e">
        <f t="shared" si="15"/>
        <v>#DIV/0!</v>
      </c>
    </row>
    <row r="36" spans="1:99" x14ac:dyDescent="0.25">
      <c r="A36" s="5" t="s">
        <v>52</v>
      </c>
      <c r="B36" s="129">
        <v>0.17</v>
      </c>
      <c r="C36" s="51"/>
      <c r="D36" s="41"/>
      <c r="E36" s="51"/>
      <c r="F36" s="54">
        <f t="shared" si="37"/>
        <v>0.18276666666666666</v>
      </c>
      <c r="G36" s="51"/>
      <c r="H36" s="51"/>
      <c r="I36" s="51"/>
      <c r="J36" s="73">
        <f t="shared" si="35"/>
        <v>0.19526666666666667</v>
      </c>
      <c r="K36" s="163">
        <f t="shared" si="38"/>
        <v>0.18901666666666667</v>
      </c>
      <c r="L36" s="51"/>
      <c r="M36" s="51"/>
      <c r="N36" s="51"/>
      <c r="O36" s="70">
        <f t="shared" si="36"/>
        <v>0.12686666666666668</v>
      </c>
      <c r="P36" s="51"/>
      <c r="Q36" s="51"/>
      <c r="R36" s="51"/>
      <c r="S36" s="70">
        <f t="shared" si="39"/>
        <v>0</v>
      </c>
      <c r="T36" s="76">
        <f t="shared" si="14"/>
        <v>6.3433333333333342E-2</v>
      </c>
      <c r="U36" s="134">
        <f t="shared" si="15"/>
        <v>0.12935000000000002</v>
      </c>
    </row>
    <row r="37" spans="1:99" x14ac:dyDescent="0.25">
      <c r="A37" s="5" t="s">
        <v>53</v>
      </c>
      <c r="B37" s="118">
        <v>35</v>
      </c>
      <c r="C37" s="3"/>
      <c r="D37" s="3"/>
      <c r="E37" s="3"/>
      <c r="F37" s="54">
        <f t="shared" si="37"/>
        <v>31.75</v>
      </c>
      <c r="G37" s="3"/>
      <c r="H37" s="3"/>
      <c r="I37" s="3"/>
      <c r="J37" s="70">
        <f t="shared" si="35"/>
        <v>35</v>
      </c>
      <c r="K37" s="163">
        <f t="shared" si="38"/>
        <v>33.375</v>
      </c>
      <c r="L37" s="3"/>
      <c r="M37" s="3"/>
      <c r="N37" s="3"/>
      <c r="O37" s="70">
        <f t="shared" si="36"/>
        <v>23.333333333333332</v>
      </c>
      <c r="P37" s="3"/>
      <c r="Q37" s="3"/>
      <c r="R37" s="3"/>
      <c r="S37" s="70">
        <f t="shared" si="39"/>
        <v>0</v>
      </c>
      <c r="T37" s="76">
        <f t="shared" si="14"/>
        <v>11.666666666666666</v>
      </c>
      <c r="U37" s="134">
        <f t="shared" si="15"/>
        <v>23.333333333333332</v>
      </c>
    </row>
    <row r="38" spans="1:99" ht="15.75" thickBot="1" x14ac:dyDescent="0.3">
      <c r="A38" s="81" t="s">
        <v>54</v>
      </c>
      <c r="B38" s="127">
        <v>4.5</v>
      </c>
      <c r="C38" s="56"/>
      <c r="D38" s="56"/>
      <c r="E38" s="56"/>
      <c r="F38" s="54">
        <f t="shared" si="37"/>
        <v>7.333333333333333</v>
      </c>
      <c r="G38" s="56"/>
      <c r="H38" s="56"/>
      <c r="I38" s="56"/>
      <c r="J38" s="83">
        <f t="shared" si="35"/>
        <v>6.333333333333333</v>
      </c>
      <c r="K38" s="163">
        <f t="shared" si="38"/>
        <v>6.833333333333333</v>
      </c>
      <c r="L38" s="56"/>
      <c r="M38" s="56"/>
      <c r="N38" s="56"/>
      <c r="O38" s="83">
        <f t="shared" si="36"/>
        <v>5.333333333333333</v>
      </c>
      <c r="P38" s="56"/>
      <c r="Q38" s="56"/>
      <c r="R38" s="56"/>
      <c r="S38" s="83">
        <f t="shared" si="39"/>
        <v>0</v>
      </c>
      <c r="T38" s="84">
        <f t="shared" si="14"/>
        <v>2.6666666666666665</v>
      </c>
      <c r="U38" s="135">
        <f t="shared" si="15"/>
        <v>4.5</v>
      </c>
    </row>
    <row r="39" spans="1:99" ht="15.75" thickBot="1" x14ac:dyDescent="0.3">
      <c r="A39" s="58"/>
      <c r="B39" s="59"/>
      <c r="C39" s="59"/>
      <c r="D39" s="59"/>
      <c r="E39" s="59"/>
      <c r="F39" s="94"/>
      <c r="G39" s="59"/>
      <c r="H39" s="59"/>
      <c r="I39" s="59"/>
      <c r="J39" s="97"/>
      <c r="K39" s="97"/>
      <c r="L39" s="59"/>
      <c r="M39" s="59" t="s">
        <v>55</v>
      </c>
      <c r="N39" s="59"/>
      <c r="O39" s="97"/>
      <c r="P39" s="59"/>
      <c r="Q39" s="59"/>
      <c r="R39" s="59"/>
      <c r="S39" s="97"/>
      <c r="T39" s="95"/>
      <c r="U39" s="96"/>
    </row>
    <row r="40" spans="1:99" s="1" customFormat="1" ht="23.25" x14ac:dyDescent="0.35">
      <c r="A40" s="55" t="s">
        <v>56</v>
      </c>
      <c r="B40" s="124"/>
      <c r="C40" s="12"/>
      <c r="D40" s="12"/>
      <c r="E40" s="12"/>
      <c r="F40" s="57"/>
      <c r="G40" s="12"/>
      <c r="H40" s="12"/>
      <c r="I40" s="12"/>
      <c r="J40" s="70"/>
      <c r="K40" s="163"/>
      <c r="L40" s="12"/>
      <c r="M40" s="12"/>
      <c r="N40" s="12"/>
      <c r="O40" s="70"/>
      <c r="P40" s="12"/>
      <c r="Q40" s="12"/>
      <c r="R40" s="12"/>
      <c r="S40" s="70"/>
      <c r="T40" s="76"/>
      <c r="U40" s="79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</row>
    <row r="41" spans="1:99" x14ac:dyDescent="0.25">
      <c r="A41" s="5" t="s">
        <v>57</v>
      </c>
      <c r="B41" s="118">
        <v>62.83</v>
      </c>
      <c r="C41" s="3"/>
      <c r="D41" s="3"/>
      <c r="E41" s="3"/>
      <c r="F41" s="54">
        <f>(C41+D41+E41)/3</f>
      </c>
      <c r="G41" s="3"/>
      <c r="H41" s="3"/>
      <c r="I41" s="3"/>
      <c r="J41" s="70">
        <f t="shared" ref="J41:J49" si="44">(G41+H41+I41)/3</f>
      </c>
      <c r="K41" s="163">
        <f>(F41+J41)/2</f>
      </c>
      <c r="L41" s="3"/>
      <c r="M41" s="3"/>
      <c r="N41" s="3"/>
      <c r="O41" s="70">
        <f t="shared" ref="O41:O49" si="45">(L41+M41+N41)/3</f>
      </c>
      <c r="P41" s="3"/>
      <c r="Q41" s="3"/>
      <c r="R41" s="3"/>
      <c r="S41" s="70">
        <f>(P41+Q41+R41)/3</f>
      </c>
      <c r="T41" s="76">
        <f t="shared" si="14"/>
        <v>24.166666666666668</v>
      </c>
      <c r="U41" s="134">
        <f t="shared" si="15"/>
        <v>32.416666666666664</v>
      </c>
    </row>
    <row r="42" spans="1:99" x14ac:dyDescent="0.25">
      <c r="A42" s="5" t="s">
        <v>58</v>
      </c>
      <c r="B42" s="118">
        <v>46.33</v>
      </c>
      <c r="C42" s="3"/>
      <c r="D42" s="3"/>
      <c r="E42" s="3"/>
      <c r="F42" s="54">
        <f t="shared" ref="F42:F49" si="46">(C42+D42+E42)/3</f>
      </c>
      <c r="G42" s="3"/>
      <c r="H42" s="3"/>
      <c r="I42" s="3"/>
      <c r="J42" s="70">
        <f t="shared" si="44"/>
        <v>28.666666666666668</v>
      </c>
      <c r="K42" s="163">
        <f t="shared" ref="K42:K49" si="47">(F42+J42)/2</f>
      </c>
      <c r="L42" s="3"/>
      <c r="M42" s="3"/>
      <c r="N42" s="3"/>
      <c r="O42" s="70">
        <f t="shared" si="45"/>
        <v>34</v>
      </c>
      <c r="P42" s="3"/>
      <c r="Q42" s="3"/>
      <c r="R42" s="3"/>
      <c r="S42" s="70">
        <f t="shared" ref="S42:S49" si="48">(P42+Q42+R42)/3</f>
      </c>
      <c r="T42" s="76">
        <f t="shared" si="14"/>
        <v>17</v>
      </c>
      <c r="U42" s="134">
        <f t="shared" si="15"/>
        <v>22.833333333333336</v>
      </c>
    </row>
    <row r="43" spans="1:99" x14ac:dyDescent="0.25">
      <c r="A43" s="5" t="s">
        <v>59</v>
      </c>
      <c r="B43" s="118">
        <v>12.33</v>
      </c>
      <c r="C43" s="3"/>
      <c r="D43" s="3"/>
      <c r="E43" s="3"/>
      <c r="F43" s="54">
        <f t="shared" si="46"/>
        <v>0</v>
      </c>
      <c r="G43" s="3"/>
      <c r="H43" s="3"/>
      <c r="I43" s="3"/>
      <c r="J43" s="70">
        <f t="shared" si="44"/>
        <v>0</v>
      </c>
      <c r="K43" s="163">
        <f t="shared" si="47"/>
        <v>0</v>
      </c>
      <c r="L43" s="3"/>
      <c r="M43" s="3"/>
      <c r="N43" s="3"/>
      <c r="O43" s="70">
        <f t="shared" si="45"/>
        <v>0</v>
      </c>
      <c r="P43" s="3"/>
      <c r="Q43" s="3"/>
      <c r="R43" s="3"/>
      <c r="S43" s="70">
        <f t="shared" si="48"/>
        <v>0</v>
      </c>
      <c r="T43" s="76">
        <f t="shared" si="14"/>
        <v>0</v>
      </c>
      <c r="U43" s="134">
        <f t="shared" si="15"/>
        <v>0</v>
      </c>
    </row>
    <row r="44" spans="1:99" x14ac:dyDescent="0.25">
      <c r="A44" s="5" t="s">
        <v>60</v>
      </c>
      <c r="B44" s="118">
        <v>10.98</v>
      </c>
      <c r="C44" s="52">
        <f>C41/C31</f>
      </c>
      <c r="D44" s="52">
        <f>D41/D31</f>
      </c>
      <c r="E44" s="52">
        <f>E41/E31</f>
      </c>
      <c r="F44" s="54">
        <f t="shared" si="46"/>
        <v>6.2465894465894465</v>
      </c>
      <c r="G44" s="52">
        <f>G41/G31</f>
      </c>
      <c r="H44" s="52">
        <f>H41/H31</f>
      </c>
      <c r="I44" s="52">
        <f>I41/I31</f>
      </c>
      <c r="J44" s="70">
        <f t="shared" si="44"/>
        <v>4.4990740740740742</v>
      </c>
      <c r="K44" s="163">
        <f t="shared" si="47"/>
        <v>5.3728317603317599</v>
      </c>
      <c r="L44" s="52">
        <f>L41/L31</f>
      </c>
      <c r="M44" s="52">
        <f>M41/M31</f>
      </c>
      <c r="N44" s="52" t="e">
        <f>N41/N31</f>
      </c>
      <c r="O44" s="70" t="e">
        <f t="shared" si="45"/>
        <v>#DIV/0!</v>
      </c>
      <c r="P44" s="52" t="e">
        <f>P41/P31</f>
      </c>
      <c r="Q44" s="52" t="e">
        <f>Q41/Q31</f>
      </c>
      <c r="R44" s="52" t="e">
        <f>R41/R31</f>
      </c>
      <c r="S44" s="70" t="e">
        <f t="shared" si="48"/>
        <v>#DIV/0!</v>
      </c>
      <c r="T44" s="76" t="e">
        <f t="shared" si="14"/>
        <v>#DIV/0!</v>
      </c>
      <c r="U44" s="134" t="e">
        <f t="shared" si="15"/>
        <v>#DIV/0!</v>
      </c>
    </row>
    <row r="45" spans="1:99" x14ac:dyDescent="0.25">
      <c r="A45" s="5" t="s">
        <v>61</v>
      </c>
      <c r="B45" s="118">
        <v>8.16</v>
      </c>
      <c r="C45" s="52">
        <f>C42/C31</f>
      </c>
      <c r="D45" s="52">
        <f>D42/D31</f>
      </c>
      <c r="E45" s="52">
        <f>E42/E31</f>
      </c>
      <c r="F45" s="71">
        <f t="shared" si="46"/>
        <v>4.7328629121732568</v>
      </c>
      <c r="G45" s="52">
        <f>G42/G31</f>
      </c>
      <c r="H45" s="52">
        <f>H42/H31</f>
      </c>
      <c r="I45" s="52">
        <f>I42/I31</f>
      </c>
      <c r="J45" s="70">
        <f t="shared" si="44"/>
        <v>3.157407407407407</v>
      </c>
      <c r="K45" s="163">
        <f t="shared" si="47"/>
        <v>3.9451351597903317</v>
      </c>
      <c r="L45" s="52">
        <f>L42/L31</f>
      </c>
      <c r="M45" s="52">
        <f>M42/M31</f>
      </c>
      <c r="N45" s="52" t="e">
        <f>N42/N31</f>
      </c>
      <c r="O45" s="70" t="e">
        <f t="shared" si="45"/>
        <v>#DIV/0!</v>
      </c>
      <c r="P45" s="52" t="e">
        <f>P42/P31</f>
      </c>
      <c r="Q45" s="52" t="e">
        <f>Q42/Q31</f>
      </c>
      <c r="R45" s="52" t="e">
        <f>R42/R31</f>
      </c>
      <c r="S45" s="70" t="e">
        <f t="shared" si="48"/>
        <v>#DIV/0!</v>
      </c>
      <c r="T45" s="76" t="e">
        <f t="shared" si="14"/>
        <v>#DIV/0!</v>
      </c>
      <c r="U45" s="134" t="e">
        <f t="shared" si="15"/>
        <v>#DIV/0!</v>
      </c>
    </row>
    <row r="46" spans="1:99" x14ac:dyDescent="0.25">
      <c r="A46" s="5" t="s">
        <v>62</v>
      </c>
      <c r="B46" s="118">
        <v>1.51</v>
      </c>
      <c r="C46" s="52">
        <f>C49/C42</f>
      </c>
      <c r="D46" s="52">
        <f>D49/D42</f>
      </c>
      <c r="E46" s="52">
        <f>E49/E42</f>
      </c>
      <c r="F46" s="71">
        <f t="shared" si="46"/>
        <v>1.5288698735738515</v>
      </c>
      <c r="G46" s="52">
        <f>G49/G42</f>
      </c>
      <c r="H46" s="52">
        <f>H49/H42</f>
      </c>
      <c r="I46" s="52">
        <f>I49/I42</f>
      </c>
      <c r="J46" s="70">
        <f t="shared" si="44"/>
        <v>2.1297061803444781</v>
      </c>
      <c r="K46" s="163">
        <f t="shared" si="47"/>
        <v>1.8292880269591647</v>
      </c>
      <c r="L46" s="52">
        <f>L49/L42</f>
      </c>
      <c r="M46" s="52">
        <f>M49/M42</f>
      </c>
      <c r="N46" s="52" t="e">
        <f>N49/N42</f>
      </c>
      <c r="O46" s="70" t="e">
        <f t="shared" si="45"/>
        <v>#DIV/0!</v>
      </c>
      <c r="P46" s="52" t="e">
        <f>P49/P42</f>
      </c>
      <c r="Q46" s="52" t="e">
        <f>Q49/Q42</f>
      </c>
      <c r="R46" s="52" t="e">
        <f>R49/R42</f>
      </c>
      <c r="S46" s="70" t="e">
        <f t="shared" si="48"/>
        <v>#DIV/0!</v>
      </c>
      <c r="T46" s="76" t="e">
        <f t="shared" si="14"/>
        <v>#DIV/0!</v>
      </c>
      <c r="U46" s="134" t="e">
        <f t="shared" si="15"/>
        <v>#DIV/0!</v>
      </c>
    </row>
    <row r="47" spans="1:99" x14ac:dyDescent="0.25">
      <c r="A47" s="5" t="s">
        <v>63</v>
      </c>
      <c r="B47" s="118">
        <v>17.25</v>
      </c>
      <c r="C47" s="3"/>
      <c r="D47" s="3"/>
      <c r="E47" s="3"/>
      <c r="F47" s="54">
        <f t="shared" si="46"/>
        <v>24.666666666666668</v>
      </c>
      <c r="G47" s="3"/>
      <c r="H47" s="3"/>
      <c r="I47" s="3"/>
      <c r="J47" s="70">
        <f t="shared" si="44"/>
        <v>13.666666666666666</v>
      </c>
      <c r="K47" s="163">
        <f t="shared" si="47"/>
        <v>19.166666666666668</v>
      </c>
      <c r="L47" s="3"/>
      <c r="M47" s="3"/>
      <c r="N47" s="3"/>
      <c r="O47" s="70">
        <f t="shared" si="45"/>
        <v>16.333333333333332</v>
      </c>
      <c r="P47" s="3"/>
      <c r="Q47" s="3"/>
      <c r="R47" s="3"/>
      <c r="S47" s="70">
        <f t="shared" si="48"/>
        <v>0</v>
      </c>
      <c r="T47" s="76">
        <f t="shared" si="14"/>
        <v>8.1666666666666661</v>
      </c>
      <c r="U47" s="134">
        <f t="shared" si="15"/>
        <v>10.916666666666666</v>
      </c>
    </row>
    <row r="48" spans="1:99" x14ac:dyDescent="0.25">
      <c r="A48" s="5" t="s">
        <v>64</v>
      </c>
      <c r="B48" s="118">
        <v>11.25</v>
      </c>
      <c r="C48" s="3"/>
      <c r="D48" s="3"/>
      <c r="E48" s="3"/>
      <c r="F48" s="54">
        <f t="shared" si="46"/>
        <v>15.333333333333334</v>
      </c>
      <c r="G48" s="3"/>
      <c r="H48" s="56"/>
      <c r="I48" s="56"/>
      <c r="J48" s="70">
        <f t="shared" si="44"/>
        <v>6.666666666666667</v>
      </c>
      <c r="K48" s="163">
        <f t="shared" si="47"/>
        <v>11</v>
      </c>
      <c r="L48" s="56"/>
      <c r="M48" s="56"/>
      <c r="N48" s="56"/>
      <c r="O48" s="70">
        <f t="shared" si="45"/>
        <v>11</v>
      </c>
      <c r="P48" s="56"/>
      <c r="Q48" s="56"/>
      <c r="R48" s="56"/>
      <c r="S48" s="70">
        <f t="shared" si="48"/>
        <v>0</v>
      </c>
      <c r="T48" s="76">
        <f t="shared" si="14"/>
        <v>5.5</v>
      </c>
      <c r="U48" s="134">
        <f t="shared" si="15"/>
        <v>6.0833333333333339</v>
      </c>
    </row>
    <row r="49" spans="1:99" ht="15.75" thickBot="1" x14ac:dyDescent="0.3">
      <c r="A49" s="81" t="s">
        <v>65</v>
      </c>
      <c r="B49" s="127">
        <v>68.42</v>
      </c>
      <c r="C49" s="56"/>
      <c r="D49" s="56"/>
      <c r="E49" s="56"/>
      <c r="F49" s="54">
        <f t="shared" si="46"/>
        <v>71.666666666666671</v>
      </c>
      <c r="G49" s="56"/>
      <c r="H49" s="56"/>
      <c r="I49" s="56"/>
      <c r="J49" s="83">
        <f t="shared" si="44"/>
        <v>55.666666666666664</v>
      </c>
      <c r="K49" s="163">
        <f t="shared" si="47"/>
        <v>63.666666666666671</v>
      </c>
      <c r="L49" s="56"/>
      <c r="M49" s="56"/>
      <c r="N49" s="56"/>
      <c r="O49" s="83">
        <f t="shared" si="45"/>
        <v>55.666666666666664</v>
      </c>
      <c r="P49" s="56"/>
      <c r="Q49" s="56"/>
      <c r="R49" s="56"/>
      <c r="S49" s="83">
        <f t="shared" si="48"/>
        <v>0</v>
      </c>
      <c r="T49" s="84">
        <f t="shared" si="14"/>
        <v>27.833333333333332</v>
      </c>
      <c r="U49" s="135">
        <f t="shared" si="15"/>
        <v>41.75</v>
      </c>
    </row>
    <row r="50" spans="1:99" ht="15.75" thickBot="1" x14ac:dyDescent="0.3">
      <c r="A50" s="58"/>
      <c r="B50" s="59"/>
      <c r="C50" s="59"/>
      <c r="D50" s="59"/>
      <c r="E50" s="59"/>
      <c r="F50" s="94"/>
      <c r="G50" s="59"/>
      <c r="H50" s="59"/>
      <c r="I50" s="59"/>
      <c r="J50" s="72"/>
      <c r="K50" s="97"/>
      <c r="L50" s="59"/>
      <c r="M50" s="59"/>
      <c r="N50" s="59"/>
      <c r="O50" s="97"/>
      <c r="P50" s="59"/>
      <c r="Q50" s="59"/>
      <c r="R50" s="59"/>
      <c r="S50" s="97"/>
      <c r="T50" s="95"/>
      <c r="U50" s="96"/>
    </row>
    <row r="51" spans="1:99" s="1" customFormat="1" ht="23.25" x14ac:dyDescent="0.35">
      <c r="A51" s="55" t="s">
        <v>66</v>
      </c>
      <c r="B51" s="124"/>
      <c r="C51" s="12"/>
      <c r="D51" s="12"/>
      <c r="E51" s="12"/>
      <c r="F51" s="57"/>
      <c r="G51" s="12"/>
      <c r="H51" s="12"/>
      <c r="I51" s="12"/>
      <c r="J51" s="70"/>
      <c r="K51" s="163"/>
      <c r="L51" s="12"/>
      <c r="M51" s="12"/>
      <c r="N51" s="12"/>
      <c r="O51" s="70"/>
      <c r="P51" s="12"/>
      <c r="Q51" s="12"/>
      <c r="R51" s="12"/>
      <c r="S51" s="70"/>
      <c r="T51" s="76"/>
      <c r="U51" s="79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</row>
    <row r="52" spans="1:99" x14ac:dyDescent="0.25">
      <c r="A52" s="5" t="s">
        <v>67</v>
      </c>
      <c r="B52" s="118">
        <v>3.67</v>
      </c>
      <c r="C52" s="3"/>
      <c r="D52" s="3"/>
      <c r="E52" s="3"/>
      <c r="F52" s="54">
        <f>(C52+D52+E52)/3</f>
      </c>
      <c r="G52" s="3"/>
      <c r="H52" s="3"/>
      <c r="I52" s="297"/>
      <c r="J52" s="70">
        <f>(G52+H52+I53)/3</f>
      </c>
      <c r="K52" s="163">
        <f>(F52+J52)/2</f>
      </c>
      <c r="L52" s="3"/>
      <c r="M52" s="3"/>
      <c r="N52" s="3"/>
      <c r="O52" s="70">
        <f t="shared" ref="O52:O54" si="49">(L52+M52+N52)/3</f>
      </c>
      <c r="P52" s="3"/>
      <c r="Q52" s="3"/>
      <c r="R52" s="3"/>
      <c r="S52" s="70">
        <f>(P52+Q52+R52)/3</f>
      </c>
      <c r="T52" s="76">
        <f t="shared" si="14"/>
        <v>3</v>
      </c>
      <c r="U52" s="134">
        <f t="shared" si="15"/>
        <v>3.6666666666666665</v>
      </c>
    </row>
    <row r="53" spans="1:99" x14ac:dyDescent="0.25">
      <c r="A53" s="5" t="s">
        <v>68</v>
      </c>
      <c r="B53" s="118">
        <v>9.25</v>
      </c>
      <c r="C53" s="3"/>
      <c r="D53" s="3"/>
      <c r="E53" s="3"/>
      <c r="F53" s="54">
        <f t="shared" ref="F53:F61" si="50">(C53+D53+E53)/3</f>
      </c>
      <c r="G53" s="3"/>
      <c r="H53" s="3"/>
      <c r="I53" s="3"/>
      <c r="J53" s="70" t="e" cm="1" vm="1">
        <f t="array" aca="1" ref="J53" ca="1">(G53+H53:I53)/3</f>
      </c>
      <c r="K53" s="163" t="e" vm="2">
        <f t="shared" ref="K53:K61" ca="1" si="51">(F53+J53)/2</f>
      </c>
      <c r="L53" s="3"/>
      <c r="M53" s="3"/>
      <c r="N53" s="3"/>
      <c r="O53" s="70">
        <f t="shared" si="49"/>
        <v>9</v>
      </c>
      <c r="P53" s="3"/>
      <c r="Q53" s="3"/>
      <c r="R53" s="3"/>
      <c r="S53" s="70">
        <f t="shared" ref="S53:S54" si="52">(P53+Q53+R53)/3</f>
      </c>
      <c r="T53" s="76">
        <f t="shared" si="14"/>
        <v>4.5</v>
      </c>
      <c r="U53" s="134" t="e" vm="2">
        <f t="shared" ca="1" si="15"/>
        <v>#VALUE!</v>
      </c>
    </row>
    <row r="54" spans="1:99" x14ac:dyDescent="0.25">
      <c r="A54" s="5" t="s">
        <v>69</v>
      </c>
      <c r="B54" s="118">
        <v>0.5</v>
      </c>
      <c r="C54" s="3"/>
      <c r="D54" s="3"/>
      <c r="E54" s="3"/>
      <c r="F54" s="54">
        <f t="shared" si="50"/>
        <v>0</v>
      </c>
      <c r="G54" s="3"/>
      <c r="H54" s="3"/>
      <c r="I54" s="3"/>
      <c r="J54" s="70">
        <f t="shared" ref="J54" si="53">(G54+H54+I54)/3</f>
      </c>
      <c r="K54" s="163">
        <f t="shared" si="51"/>
        <v>0</v>
      </c>
      <c r="L54" s="3"/>
      <c r="M54" s="3"/>
      <c r="N54" s="3"/>
      <c r="O54" s="70">
        <f t="shared" si="49"/>
        <v>0.66666666666666663</v>
      </c>
      <c r="P54" s="3"/>
      <c r="Q54" s="3"/>
      <c r="R54" s="3"/>
      <c r="S54" s="70">
        <f t="shared" si="52"/>
        <v>0</v>
      </c>
      <c r="T54" s="76">
        <f t="shared" si="14"/>
        <v>0.33333333333333331</v>
      </c>
      <c r="U54" s="134">
        <f t="shared" si="15"/>
        <v>0.16666666666666666</v>
      </c>
    </row>
    <row r="55" spans="1:99" x14ac:dyDescent="0.25">
      <c r="A55" s="5" t="s">
        <v>70</v>
      </c>
      <c r="B55" s="118">
        <v>13.42</v>
      </c>
      <c r="C55" s="3">
        <f>C52+C53+C54</f>
      </c>
      <c r="D55" s="3">
        <f t="shared" ref="D55:I55" si="54">D52+D53+D54</f>
      </c>
      <c r="E55" s="3">
        <f t="shared" si="54"/>
        <v>25</v>
      </c>
      <c r="F55" s="54">
        <f t="shared" si="50"/>
        <v>22</v>
      </c>
      <c r="G55" s="3">
        <f t="shared" si="54"/>
        <v>12</v>
      </c>
      <c r="H55" s="3">
        <f t="shared" si="54"/>
        <v>15</v>
      </c>
      <c r="I55" s="3">
        <f t="shared" si="54"/>
        <v>22</v>
      </c>
      <c r="J55" s="71" t="e" vm="2">
        <f t="shared" ref="J55:S56" ca="1" si="55">J52+J53+J54</f>
      </c>
      <c r="K55" s="163" t="e" vm="2">
        <f t="shared" ca="1" si="51"/>
        <v>#VALUE!</v>
      </c>
      <c r="L55" s="3">
        <f>L52+L53+L54</f>
      </c>
      <c r="M55" s="3">
        <f>M52+M53+M54</f>
      </c>
      <c r="N55" s="3"/>
      <c r="O55" s="71">
        <f t="shared" si="55"/>
        <v>15.666666666666666</v>
      </c>
      <c r="P55" s="3"/>
      <c r="Q55" s="3"/>
      <c r="R55" s="3"/>
      <c r="S55" s="71">
        <f t="shared" si="55"/>
        <v>0</v>
      </c>
      <c r="T55" s="76">
        <f t="shared" si="14"/>
        <v>7.833333333333333</v>
      </c>
      <c r="U55" s="134" t="e" vm="2">
        <f t="shared" ca="1" si="15"/>
        <v>#VALUE!</v>
      </c>
    </row>
    <row r="56" spans="1:99" x14ac:dyDescent="0.25">
      <c r="A56" s="5" t="s">
        <v>71</v>
      </c>
      <c r="B56" s="118">
        <v>6</v>
      </c>
      <c r="C56" s="3"/>
      <c r="D56" s="3"/>
      <c r="E56" s="3"/>
      <c r="F56" s="54">
        <f t="shared" si="50"/>
        <v>10.666666666666666</v>
      </c>
      <c r="G56" s="3"/>
      <c r="H56" s="3"/>
      <c r="I56" s="3"/>
      <c r="J56" s="71" t="e" vm="2">
        <f ca="1">(J53+J54+J55)/3</f>
      </c>
      <c r="K56" s="163" t="e" vm="2">
        <f t="shared" ca="1" si="51"/>
        <v>#VALUE!</v>
      </c>
      <c r="L56" s="3"/>
      <c r="M56" s="3"/>
      <c r="N56" s="3"/>
      <c r="O56" s="71">
        <f t="shared" si="55"/>
        <v>25.333333333333332</v>
      </c>
      <c r="P56" s="3"/>
      <c r="Q56" s="3"/>
      <c r="R56" s="3"/>
      <c r="S56" s="70">
        <f>(P56+Q56+R56)/3</f>
      </c>
      <c r="T56" s="76">
        <f t="shared" si="14"/>
        <v>12.666666666666666</v>
      </c>
      <c r="U56" s="134"/>
    </row>
    <row r="57" spans="1:99" x14ac:dyDescent="0.25">
      <c r="A57" s="5" t="s">
        <v>72</v>
      </c>
      <c r="B57" s="129"/>
      <c r="C57" s="41">
        <f t="shared" ref="C57:S57" si="56">(C52+C53)/C55</f>
      </c>
      <c r="D57" s="41">
        <f t="shared" si="56"/>
        <v>1</v>
      </c>
      <c r="E57" s="41">
        <f t="shared" si="56"/>
        <v>1</v>
      </c>
      <c r="F57" s="54">
        <f t="shared" si="50"/>
        <v>1</v>
      </c>
      <c r="G57" s="41">
        <f t="shared" si="56"/>
        <v>1</v>
      </c>
      <c r="H57" s="41">
        <f t="shared" si="56"/>
        <v>1</v>
      </c>
      <c r="I57" s="41">
        <f t="shared" si="56"/>
        <v>1</v>
      </c>
      <c r="J57" s="42" t="e" vm="2">
        <f t="shared" ca="1" si="56"/>
        <v>#VALUE!</v>
      </c>
      <c r="K57" s="163" t="e" vm="2">
        <f t="shared" ca="1" si="51"/>
        <v>#VALUE!</v>
      </c>
      <c r="L57" s="41">
        <f t="shared" si="56"/>
        <v>1</v>
      </c>
      <c r="M57" s="41">
        <f t="shared" si="56"/>
        <v>0.90476190476190477</v>
      </c>
      <c r="N57" s="41" t="e">
        <f t="shared" si="56"/>
        <v>#DIV/0!</v>
      </c>
      <c r="O57" s="105">
        <f t="shared" si="56"/>
        <v>0.95744680851063835</v>
      </c>
      <c r="P57" s="41" t="e">
        <f t="shared" si="56"/>
        <v>#DIV/0!</v>
      </c>
      <c r="Q57" s="41" t="e">
        <f t="shared" si="56"/>
        <v>#DIV/0!</v>
      </c>
      <c r="R57" s="41" t="e">
        <f t="shared" si="56"/>
        <v>#DIV/0!</v>
      </c>
      <c r="S57" s="105" t="e">
        <f t="shared" si="56"/>
        <v>#DIV/0!</v>
      </c>
      <c r="T57" s="77" t="e">
        <f t="shared" si="14"/>
        <v>#DIV/0!</v>
      </c>
      <c r="U57" s="136" t="e" vm="2">
        <f t="shared" ca="1" si="15"/>
        <v>#VALUE!</v>
      </c>
    </row>
    <row r="58" spans="1:99" x14ac:dyDescent="0.25">
      <c r="A58" s="5" t="s">
        <v>73</v>
      </c>
      <c r="B58" s="118">
        <v>1.24</v>
      </c>
      <c r="C58" s="52">
        <f>C55/C9</f>
      </c>
      <c r="D58" s="52">
        <f t="shared" ref="D58:I58" si="57">D55/D9</f>
      </c>
      <c r="E58" s="52">
        <f t="shared" si="57"/>
        <v>3.5714285714285716</v>
      </c>
      <c r="F58" s="54">
        <f t="shared" si="50"/>
        <v>3.4682539682539684</v>
      </c>
      <c r="G58" s="156">
        <f t="shared" si="57"/>
        <v>1.7142857142857142</v>
      </c>
      <c r="H58" s="156">
        <f t="shared" si="57"/>
        <v>2.5</v>
      </c>
      <c r="I58" s="156">
        <f t="shared" si="57"/>
        <v>3.1428571428571428</v>
      </c>
      <c r="J58" s="160">
        <f>(G58+H58+I58)/3</f>
      </c>
      <c r="K58" s="163">
        <f t="shared" si="51"/>
        <v>2.9603174603174605</v>
      </c>
      <c r="L58" s="156">
        <f t="shared" ref="L58:R58" si="58">L55/L9</f>
      </c>
      <c r="M58" s="156">
        <f t="shared" si="58"/>
        <v>2.625</v>
      </c>
      <c r="N58" s="156" t="e">
        <f t="shared" si="58"/>
        <v>#DIV/0!</v>
      </c>
      <c r="O58" s="71">
        <f t="shared" ref="O58:S58" si="59">O55/O2</f>
      </c>
      <c r="P58" s="156" t="e">
        <f t="shared" si="58"/>
        <v>#DIV/0!</v>
      </c>
      <c r="Q58" s="156" t="e">
        <f t="shared" si="58"/>
        <v>#DIV/0!</v>
      </c>
      <c r="R58" s="156" t="e">
        <f t="shared" si="58"/>
        <v>#DIV/0!</v>
      </c>
      <c r="S58" s="71" t="e">
        <f t="shared" si="59"/>
        <v>#DIV/0!</v>
      </c>
      <c r="T58" s="76" t="e">
        <f t="shared" si="14"/>
        <v>#DIV/0!</v>
      </c>
      <c r="U58" s="134" t="e">
        <f t="shared" si="15"/>
        <v>#DIV/0!</v>
      </c>
    </row>
    <row r="59" spans="1:99" x14ac:dyDescent="0.25">
      <c r="A59" s="5" t="s">
        <v>74</v>
      </c>
      <c r="B59" s="118">
        <v>2.11</v>
      </c>
      <c r="C59" s="52">
        <f>C55/C31</f>
      </c>
      <c r="D59" s="52">
        <f>D55/D31</f>
      </c>
      <c r="E59" s="52">
        <f>E55/E31</f>
      </c>
      <c r="F59" s="71">
        <f t="shared" si="50"/>
        <v>2.1425464873740734</v>
      </c>
      <c r="G59" s="52">
        <f t="shared" ref="G59:S59" si="60">G55/G31</f>
      </c>
      <c r="H59" s="52">
        <f t="shared" si="60"/>
        <v>1.875</v>
      </c>
      <c r="I59" s="52">
        <f t="shared" si="60"/>
        <v>2.4444444444444446</v>
      </c>
      <c r="J59" s="71" t="e" vm="2">
        <f ca="1">J55/J31</f>
      </c>
      <c r="K59" s="163" t="e" vm="2">
        <f t="shared" ca="1" si="51"/>
        <v>#VALUE!</v>
      </c>
      <c r="L59" s="52">
        <f t="shared" si="60"/>
        <v>1.625</v>
      </c>
      <c r="M59" s="52">
        <f t="shared" si="60"/>
        <v>2.1</v>
      </c>
      <c r="N59" s="52" t="e">
        <f t="shared" si="60"/>
        <v>#DIV/0!</v>
      </c>
      <c r="O59" s="71">
        <f t="shared" si="60"/>
        <v>1.8076923076923077</v>
      </c>
      <c r="P59" s="52" t="e">
        <f t="shared" si="60"/>
        <v>#DIV/0!</v>
      </c>
      <c r="Q59" s="52" t="e">
        <f t="shared" si="60"/>
        <v>#DIV/0!</v>
      </c>
      <c r="R59" s="52" t="e">
        <f t="shared" si="60"/>
        <v>#DIV/0!</v>
      </c>
      <c r="S59" s="71" t="e">
        <f t="shared" si="60"/>
        <v>#DIV/0!</v>
      </c>
      <c r="T59" s="76" t="e">
        <f t="shared" si="14"/>
        <v>#DIV/0!</v>
      </c>
      <c r="U59" s="134" t="e" vm="2">
        <f t="shared" ca="1" si="15"/>
        <v>#VALUE!</v>
      </c>
    </row>
    <row r="60" spans="1:99" x14ac:dyDescent="0.25">
      <c r="A60" s="5" t="s">
        <v>75</v>
      </c>
      <c r="B60" s="118">
        <v>2.2000000000000002</v>
      </c>
      <c r="C60" s="52">
        <f>C31/C67</f>
      </c>
      <c r="D60" s="52">
        <f>D31/D67</f>
      </c>
      <c r="E60" s="52">
        <f>E31/E67</f>
      </c>
      <c r="F60" s="71">
        <f t="shared" si="50"/>
        <v>2.1319444444444442</v>
      </c>
      <c r="G60" s="52">
        <f>G31/G67</f>
      </c>
      <c r="H60" s="52">
        <f>H31/H67</f>
      </c>
      <c r="I60" s="52">
        <f>I31/I67</f>
      </c>
      <c r="J60" s="71">
        <f>J31/J67</f>
      </c>
      <c r="K60" s="163">
        <f t="shared" si="51"/>
        <v>2.415972222222222</v>
      </c>
      <c r="L60" s="52">
        <f t="shared" ref="L60:S60" si="61">L31/L67</f>
      </c>
      <c r="M60" s="52">
        <f t="shared" si="61"/>
        <v>3.3333333333333335</v>
      </c>
      <c r="N60" s="52" t="e">
        <f t="shared" si="61"/>
        <v>#DIV/0!</v>
      </c>
      <c r="O60" s="71">
        <f t="shared" si="61"/>
        <v>2.3636363636363638</v>
      </c>
      <c r="P60" s="52" t="e">
        <f t="shared" si="61"/>
        <v>#DIV/0!</v>
      </c>
      <c r="Q60" s="52" t="e">
        <f t="shared" si="61"/>
        <v>#DIV/0!</v>
      </c>
      <c r="R60" s="52" t="e">
        <f t="shared" si="61"/>
        <v>#DIV/0!</v>
      </c>
      <c r="S60" s="71" t="e">
        <f t="shared" si="61"/>
        <v>#DIV/0!</v>
      </c>
      <c r="T60" s="76" t="e">
        <f t="shared" si="14"/>
        <v>#DIV/0!</v>
      </c>
      <c r="U60" s="134" t="e">
        <f t="shared" si="15"/>
        <v>#DIV/0!</v>
      </c>
    </row>
    <row r="61" spans="1:99" ht="15.75" thickBot="1" x14ac:dyDescent="0.3">
      <c r="A61" s="5" t="s">
        <v>76</v>
      </c>
      <c r="B61" s="118">
        <v>2.0099999999999998</v>
      </c>
      <c r="C61" s="52">
        <f>C31/C68</f>
      </c>
      <c r="D61" s="52">
        <f>D31/D68</f>
      </c>
      <c r="E61" s="52">
        <f>E31/E68</f>
      </c>
      <c r="F61" s="71">
        <f t="shared" si="50"/>
        <v>1.9892623716153128</v>
      </c>
      <c r="G61" s="52">
        <f>G31/G68</f>
      </c>
      <c r="H61" s="52">
        <f>H31/H68</f>
      </c>
      <c r="I61" s="52">
        <f>I31/I68</f>
      </c>
      <c r="J61" s="71">
        <f>J31/J68</f>
      </c>
      <c r="K61" s="163">
        <f t="shared" si="51"/>
        <v>1.7051575015971301</v>
      </c>
      <c r="L61" s="52">
        <f>L31/L68</f>
      </c>
      <c r="M61" s="52">
        <f>M31/M68</f>
      </c>
      <c r="N61" s="52" t="e">
        <f>N31/N68</f>
      </c>
      <c r="O61" s="71" t="e">
        <f>(L61+M61+N61)/3</f>
      </c>
      <c r="P61" s="52" t="e">
        <f>P31/P68</f>
      </c>
      <c r="Q61" s="52" t="e">
        <f>Q31/Q68</f>
      </c>
      <c r="R61" s="52" t="e">
        <f>R31/R68</f>
      </c>
      <c r="S61" s="71" t="e">
        <f>S31/S68</f>
      </c>
      <c r="T61" s="76" t="e">
        <f t="shared" si="14"/>
        <v>#DIV/0!</v>
      </c>
      <c r="U61" s="134" t="e">
        <f t="shared" si="15"/>
        <v>#DIV/0!</v>
      </c>
    </row>
    <row r="62" spans="1:99" ht="15.75" thickBot="1" x14ac:dyDescent="0.3">
      <c r="A62" s="92"/>
      <c r="B62" s="123"/>
      <c r="C62" s="93"/>
      <c r="D62" s="93"/>
      <c r="E62" s="93"/>
      <c r="F62" s="94"/>
      <c r="G62" s="93"/>
      <c r="H62" s="93"/>
      <c r="I62" s="93"/>
      <c r="J62" s="93"/>
      <c r="K62" s="95"/>
      <c r="L62" s="93"/>
      <c r="M62" s="93"/>
      <c r="N62" s="93"/>
      <c r="O62" s="95"/>
      <c r="P62" s="93"/>
      <c r="Q62" s="93"/>
      <c r="R62" s="93"/>
      <c r="S62" s="95"/>
      <c r="T62" s="95"/>
      <c r="U62" s="96"/>
    </row>
    <row r="63" spans="1:99" x14ac:dyDescent="0.25">
      <c r="A63" s="10" t="s">
        <v>77</v>
      </c>
      <c r="B63" s="126">
        <v>2.75</v>
      </c>
      <c r="C63" s="11"/>
      <c r="D63" s="11"/>
      <c r="E63" s="11"/>
      <c r="F63" s="54">
        <f>(C63+D63+E63)/3</f>
      </c>
      <c r="G63" s="11"/>
      <c r="H63" s="11"/>
      <c r="I63" s="11"/>
      <c r="J63" s="70">
        <f t="shared" ref="J63:J64" si="62">(G63+H63+I63)/3</f>
      </c>
      <c r="K63" s="163">
        <f>(F63+J63)/2</f>
      </c>
      <c r="L63" s="11"/>
      <c r="M63" s="11"/>
      <c r="N63" s="11"/>
      <c r="O63" s="70">
        <f t="shared" ref="O63:O64" si="63">(L63+M63+N63)/3</f>
      </c>
      <c r="P63" s="11"/>
      <c r="Q63" s="11"/>
      <c r="R63" s="11"/>
      <c r="S63" s="70">
        <f>(P63+Q63+R63)/3</f>
      </c>
      <c r="T63" s="76">
        <f t="shared" si="14"/>
        <v>0.66666666666666663</v>
      </c>
      <c r="U63" s="79">
        <f t="shared" si="15"/>
        <v>1</v>
      </c>
    </row>
    <row r="64" spans="1:99" x14ac:dyDescent="0.25">
      <c r="A64" s="5" t="s">
        <v>78</v>
      </c>
      <c r="B64" s="118">
        <v>0.08</v>
      </c>
      <c r="C64" s="3"/>
      <c r="D64" s="3"/>
      <c r="E64" s="3"/>
      <c r="F64" s="54">
        <f t="shared" ref="F64:F65" si="64">(C64+D64+E64)/3</f>
      </c>
      <c r="G64" s="3"/>
      <c r="H64" s="3"/>
      <c r="I64" s="3"/>
      <c r="J64" s="70">
        <f t="shared" si="62"/>
        <v>0.66666666666666663</v>
      </c>
      <c r="K64" s="163">
        <f t="shared" ref="K64:K65" si="65">(F64+J64)/2</f>
      </c>
      <c r="L64" s="3"/>
      <c r="M64" s="3"/>
      <c r="N64" s="3"/>
      <c r="O64" s="70">
        <f t="shared" si="63"/>
        <v>0.33333333333333331</v>
      </c>
      <c r="P64" s="3"/>
      <c r="Q64" s="3"/>
      <c r="R64" s="3"/>
      <c r="S64" s="70">
        <f>(P64+Q64+R64)/3</f>
      </c>
      <c r="T64" s="76">
        <f t="shared" si="14"/>
        <v>0.16666666666666666</v>
      </c>
      <c r="U64" s="79">
        <f t="shared" si="15"/>
        <v>0.41666666666666663</v>
      </c>
    </row>
    <row r="65" spans="1:21" ht="15.75" thickBot="1" x14ac:dyDescent="0.3">
      <c r="A65" s="81" t="s">
        <v>79</v>
      </c>
      <c r="B65" s="127">
        <v>2.83</v>
      </c>
      <c r="C65" s="56">
        <f>C63+C64</f>
      </c>
      <c r="D65" s="56">
        <f>D63+D64</f>
      </c>
      <c r="E65" s="56">
        <f t="shared" ref="E65:S65" si="66">E63+E64</f>
      </c>
      <c r="F65" s="54">
        <f t="shared" si="64"/>
        <v>2</v>
      </c>
      <c r="G65" s="56">
        <f t="shared" si="66"/>
        <v>0</v>
      </c>
      <c r="H65" s="56">
        <f t="shared" si="66"/>
        <v>4</v>
      </c>
      <c r="I65" s="56">
        <f t="shared" si="66"/>
        <v>2</v>
      </c>
      <c r="J65" s="86">
        <f t="shared" si="66"/>
        <v>2</v>
      </c>
      <c r="K65" s="163">
        <f t="shared" si="65"/>
        <v>2</v>
      </c>
      <c r="L65" s="56">
        <f t="shared" si="66"/>
        <v>4</v>
      </c>
      <c r="M65" s="56">
        <f t="shared" si="66"/>
        <v>1</v>
      </c>
      <c r="N65" s="56">
        <f t="shared" si="66"/>
        <v>0</v>
      </c>
      <c r="O65" s="86">
        <f t="shared" si="66"/>
        <v>1.6666666666666665</v>
      </c>
      <c r="P65" s="56">
        <f t="shared" si="66"/>
        <v>0</v>
      </c>
      <c r="Q65" s="56">
        <f t="shared" si="66"/>
        <v>0</v>
      </c>
      <c r="R65" s="56">
        <f t="shared" si="66"/>
        <v>0</v>
      </c>
      <c r="S65" s="86">
        <f t="shared" si="66"/>
        <v>0</v>
      </c>
      <c r="T65" s="84">
        <f t="shared" si="14"/>
        <v>0.83333333333333326</v>
      </c>
      <c r="U65" s="85">
        <f t="shared" si="15"/>
        <v>1.4166666666666665</v>
      </c>
    </row>
    <row r="66" spans="1:21" ht="15.75" thickBot="1" x14ac:dyDescent="0.3">
      <c r="A66" s="92"/>
      <c r="B66" s="123"/>
      <c r="C66" s="93"/>
      <c r="D66" s="93"/>
      <c r="E66" s="93"/>
      <c r="F66" s="94"/>
      <c r="G66" s="93"/>
      <c r="H66" s="93"/>
      <c r="I66" s="93"/>
      <c r="J66" s="93"/>
      <c r="K66" s="95"/>
      <c r="L66" s="93"/>
      <c r="M66" s="93"/>
      <c r="N66" s="93"/>
      <c r="O66" s="95"/>
      <c r="P66" s="93"/>
      <c r="Q66" s="93"/>
      <c r="R66" s="93"/>
      <c r="S66" s="95"/>
      <c r="T66" s="95"/>
      <c r="U66" s="96"/>
    </row>
    <row r="67" spans="1:21" x14ac:dyDescent="0.25">
      <c r="A67" s="10" t="s">
        <v>80</v>
      </c>
      <c r="B67" s="126">
        <v>3.08</v>
      </c>
      <c r="C67" s="11"/>
      <c r="D67" s="11"/>
      <c r="E67" s="11"/>
      <c r="F67" s="54">
        <f>(C67+D67+E67)/3</f>
      </c>
      <c r="G67" s="11"/>
      <c r="H67" s="11"/>
      <c r="I67" s="11"/>
      <c r="J67" s="70">
        <f t="shared" ref="J67:J68" si="67">(G67+H67+I67)/3</f>
      </c>
      <c r="K67" s="163">
        <f>(F67+J67)/2</f>
      </c>
      <c r="L67" s="11"/>
      <c r="M67" s="11"/>
      <c r="N67" s="11"/>
      <c r="O67" s="70">
        <f>(L67+M67+N67)/3</f>
      </c>
      <c r="P67" s="11"/>
      <c r="Q67" s="11"/>
      <c r="R67" s="11"/>
      <c r="S67" s="70">
        <f>(P67+Q67+R67)/3</f>
      </c>
      <c r="T67" s="76">
        <f t="shared" ref="T67:T96" si="68">(O67+S67)/2</f>
      </c>
      <c r="U67" s="79">
        <f t="shared" ref="U67:U96" si="69">(J67+T67)/2</f>
      </c>
    </row>
    <row r="68" spans="1:21" ht="15.75" thickBot="1" x14ac:dyDescent="0.3">
      <c r="A68" s="5" t="s">
        <v>81</v>
      </c>
      <c r="B68" s="118">
        <v>3.42</v>
      </c>
      <c r="C68" s="3"/>
      <c r="D68" s="3"/>
      <c r="E68" s="3"/>
      <c r="F68" s="54">
        <f t="shared" ref="F68" si="70">(C68+D68+E68)/3</f>
      </c>
      <c r="G68" s="3"/>
      <c r="H68" s="3"/>
      <c r="I68" s="3"/>
      <c r="J68" s="70">
        <f t="shared" si="67"/>
        <v>6.333333333333333</v>
      </c>
      <c r="K68" s="163">
        <f t="shared" ref="K68" si="71">(F68+J68)/2</f>
      </c>
      <c r="L68" s="3"/>
      <c r="M68" s="3"/>
      <c r="N68" s="3"/>
      <c r="O68" s="70">
        <f>(L68+M68+N68)/3</f>
      </c>
      <c r="P68" s="3"/>
      <c r="Q68" s="3"/>
      <c r="R68" s="3"/>
      <c r="S68" s="70">
        <f t="shared" ref="S68" si="72">(P68+Q68+R68)/3</f>
      </c>
      <c r="T68" s="76">
        <f t="shared" si="68"/>
        <v>2.5</v>
      </c>
      <c r="U68" s="79">
        <f t="shared" si="69"/>
        <v>4.4166666666666661</v>
      </c>
    </row>
    <row r="69" spans="1:21" ht="15.75" thickBot="1" x14ac:dyDescent="0.3">
      <c r="A69" s="92"/>
      <c r="B69" s="123"/>
      <c r="C69" s="93"/>
      <c r="D69" s="93"/>
      <c r="E69" s="93"/>
      <c r="F69" s="94"/>
      <c r="G69" s="93"/>
      <c r="H69" s="93"/>
      <c r="I69" s="93"/>
      <c r="J69" s="93"/>
      <c r="K69" s="95"/>
      <c r="L69" s="93"/>
      <c r="M69" s="93"/>
      <c r="N69" s="93"/>
      <c r="O69" s="95"/>
      <c r="P69" s="93"/>
      <c r="Q69" s="93"/>
      <c r="R69" s="93"/>
      <c r="S69" s="95"/>
      <c r="T69" s="95"/>
      <c r="U69" s="96"/>
    </row>
    <row r="70" spans="1:21" x14ac:dyDescent="0.25">
      <c r="A70" s="10" t="s">
        <v>82</v>
      </c>
      <c r="B70" s="128">
        <v>0.48080000000000001</v>
      </c>
      <c r="C70" s="90">
        <f>C67/C31</f>
      </c>
      <c r="D70" s="90">
        <f>D67/D31</f>
      </c>
      <c r="E70" s="90">
        <f>E67/E31</f>
      </c>
      <c r="F70" s="54">
        <f>(C70+D70+E70)/3</f>
      </c>
      <c r="G70" s="90">
        <f>G67/G31</f>
      </c>
      <c r="H70" s="90">
        <f>H67/H31</f>
      </c>
      <c r="I70" s="90">
        <f>I67/I31</f>
      </c>
      <c r="J70" s="99">
        <f>J67/J31</f>
      </c>
      <c r="K70" s="163">
        <f>(F70+J70)/2</f>
      </c>
      <c r="L70" s="90">
        <f t="shared" ref="L70:S70" si="73">L67/L31</f>
      </c>
      <c r="M70" s="90">
        <f t="shared" si="73"/>
        <v>0.3</v>
      </c>
      <c r="N70" s="90" t="e">
        <f t="shared" si="73"/>
        <v>#DIV/0!</v>
      </c>
      <c r="O70" s="73">
        <f t="shared" si="73"/>
        <v>0.42307692307692307</v>
      </c>
      <c r="P70" s="90" t="e">
        <f t="shared" si="73"/>
        <v>#DIV/0!</v>
      </c>
      <c r="Q70" s="90" t="e">
        <f t="shared" si="73"/>
        <v>#DIV/0!</v>
      </c>
      <c r="R70" s="90" t="e">
        <f t="shared" si="73"/>
        <v>#DIV/0!</v>
      </c>
      <c r="S70" s="73" t="e">
        <f t="shared" si="73"/>
        <v>#DIV/0!</v>
      </c>
      <c r="T70" s="77" t="e">
        <f t="shared" si="68"/>
        <v>#DIV/0!</v>
      </c>
      <c r="U70" s="136" t="e">
        <f t="shared" si="69"/>
        <v>#DIV/0!</v>
      </c>
    </row>
    <row r="71" spans="1:21" ht="15.75" thickBot="1" x14ac:dyDescent="0.3">
      <c r="A71" s="5" t="s">
        <v>83</v>
      </c>
      <c r="B71" s="129">
        <v>0.50780000000000003</v>
      </c>
      <c r="C71" s="41">
        <f>C68/C31</f>
      </c>
      <c r="D71" s="41">
        <f>D68/D31</f>
      </c>
      <c r="E71" s="41">
        <f>E68/E31</f>
      </c>
      <c r="F71" s="54">
        <f t="shared" ref="F71" si="74">(C71+D71+E71)/3</f>
      </c>
      <c r="G71" s="41">
        <f>G68/G31</f>
      </c>
      <c r="H71" s="41">
        <f>H68/H31</f>
      </c>
      <c r="I71" s="41">
        <f>I68/I31</f>
      </c>
      <c r="J71" s="42">
        <f>J68/J31</f>
      </c>
      <c r="K71" s="163">
        <f t="shared" ref="K71" si="75">(F71+J71)/2</f>
      </c>
      <c r="L71" s="41">
        <f t="shared" ref="L71:S71" si="76">L68/L31</f>
      </c>
      <c r="M71" s="41">
        <f t="shared" si="76"/>
        <v>0.7</v>
      </c>
      <c r="N71" s="41" t="e">
        <f t="shared" si="76"/>
        <v>#DIV/0!</v>
      </c>
      <c r="O71" s="105">
        <f t="shared" si="76"/>
        <v>0.57692307692307698</v>
      </c>
      <c r="P71" s="41" t="e">
        <f t="shared" si="76"/>
        <v>#DIV/0!</v>
      </c>
      <c r="Q71" s="41" t="e">
        <f t="shared" si="76"/>
        <v>#DIV/0!</v>
      </c>
      <c r="R71" s="41" t="e">
        <f t="shared" si="76"/>
        <v>#DIV/0!</v>
      </c>
      <c r="S71" s="105" t="e">
        <f t="shared" si="76"/>
        <v>#DIV/0!</v>
      </c>
      <c r="T71" s="77" t="e">
        <f t="shared" si="68"/>
        <v>#DIV/0!</v>
      </c>
      <c r="U71" s="136" t="e">
        <f t="shared" si="69"/>
        <v>#DIV/0!</v>
      </c>
    </row>
    <row r="72" spans="1:21" ht="15.75" thickBot="1" x14ac:dyDescent="0.3">
      <c r="A72" s="92"/>
      <c r="B72" s="123"/>
      <c r="C72" s="93"/>
      <c r="D72" s="93"/>
      <c r="E72" s="93"/>
      <c r="F72" s="94"/>
      <c r="G72" s="93"/>
      <c r="H72" s="93"/>
      <c r="I72" s="93"/>
      <c r="J72" s="93"/>
      <c r="K72" s="95"/>
      <c r="L72" s="93"/>
      <c r="M72" s="93"/>
      <c r="N72" s="93"/>
      <c r="O72" s="95"/>
      <c r="P72" s="93"/>
      <c r="Q72" s="93"/>
      <c r="R72" s="93"/>
      <c r="S72" s="95"/>
      <c r="T72" s="95"/>
      <c r="U72" s="96"/>
    </row>
    <row r="73" spans="1:21" x14ac:dyDescent="0.25">
      <c r="A73" s="10" t="s">
        <v>84</v>
      </c>
      <c r="B73" s="126">
        <v>3.33</v>
      </c>
      <c r="C73" s="11"/>
      <c r="D73" s="11"/>
      <c r="E73" s="11"/>
      <c r="F73" s="54">
        <f>(C73+D73+E73)/3</f>
      </c>
      <c r="G73" s="11"/>
      <c r="H73" s="11"/>
      <c r="I73" s="11"/>
      <c r="J73" s="70">
        <f t="shared" ref="J73:J75" si="77">(G73+H73+I73)/3</f>
      </c>
      <c r="K73" s="163">
        <f>(F73+J73)/2</f>
      </c>
      <c r="L73" s="11"/>
      <c r="M73" s="11"/>
      <c r="N73" s="11"/>
      <c r="O73" s="70">
        <f t="shared" ref="O73:O75" si="78">(L73+M73+N73)/3</f>
      </c>
      <c r="P73" s="11"/>
      <c r="Q73" s="11"/>
      <c r="R73" s="11"/>
      <c r="S73" s="70">
        <f>(P73+Q73+R73)/3</f>
      </c>
      <c r="T73" s="76">
        <f t="shared" si="68"/>
        <v>5.666666666666667</v>
      </c>
      <c r="U73" s="79">
        <f t="shared" si="69"/>
        <v>7.1666666666666661</v>
      </c>
    </row>
    <row r="74" spans="1:21" x14ac:dyDescent="0.25">
      <c r="A74" s="5" t="s">
        <v>85</v>
      </c>
      <c r="B74" s="118">
        <v>14.42</v>
      </c>
      <c r="C74" s="3"/>
      <c r="D74" s="3"/>
      <c r="E74" s="3"/>
      <c r="F74" s="54">
        <f t="shared" ref="F74:F75" si="79">(C74+D74+E74)/3</f>
      </c>
      <c r="G74" s="3"/>
      <c r="H74" s="3"/>
      <c r="I74" s="3"/>
      <c r="J74" s="70">
        <f t="shared" si="77"/>
        <v>14.333333333333334</v>
      </c>
      <c r="K74" s="163">
        <f t="shared" ref="K74:K75" si="80">(F74+J74)/2</f>
      </c>
      <c r="L74" s="3"/>
      <c r="M74" s="3"/>
      <c r="N74" s="3"/>
      <c r="O74" s="70">
        <f t="shared" si="78"/>
        <v>8</v>
      </c>
      <c r="P74" s="3"/>
      <c r="Q74" s="3"/>
      <c r="R74" s="3"/>
      <c r="S74" s="70">
        <f t="shared" ref="S74" si="81">(P74+Q74+R74)/3</f>
      </c>
      <c r="T74" s="76">
        <f t="shared" si="68"/>
        <v>4</v>
      </c>
      <c r="U74" s="79">
        <f t="shared" si="69"/>
        <v>9.1666666666666679</v>
      </c>
    </row>
    <row r="75" spans="1:21" ht="15.75" thickBot="1" x14ac:dyDescent="0.3">
      <c r="A75" s="81" t="s">
        <v>86</v>
      </c>
      <c r="B75" s="127">
        <v>17.920000000000002</v>
      </c>
      <c r="C75" s="56">
        <f>C73+C74</f>
      </c>
      <c r="D75" s="56">
        <f t="shared" ref="D75:E75" si="82">D73+D74</f>
      </c>
      <c r="E75" s="56">
        <f t="shared" si="82"/>
        <v>30</v>
      </c>
      <c r="F75" s="54">
        <f t="shared" si="79"/>
        <v>27.666666666666668</v>
      </c>
      <c r="G75" s="56">
        <f>G73+G74</f>
      </c>
      <c r="H75" s="56">
        <f>H73+H74</f>
      </c>
      <c r="I75" s="56">
        <f>I73+I74</f>
      </c>
      <c r="J75" s="83">
        <f t="shared" si="77"/>
        <v>23</v>
      </c>
      <c r="K75" s="163">
        <f t="shared" si="80"/>
        <v>25.333333333333336</v>
      </c>
      <c r="L75" s="56">
        <f>L73+L74</f>
      </c>
      <c r="M75" s="56"/>
      <c r="N75" s="56">
        <f>N73+N74</f>
      </c>
      <c r="O75" s="83">
        <f t="shared" si="78"/>
        <v>20.333333333333332</v>
      </c>
      <c r="P75" s="56" t="e">
        <f>P73+P74+#REF!</f>
      </c>
      <c r="Q75" s="56" t="e">
        <f>Q73+Q74+#REF!</f>
      </c>
      <c r="R75" s="56" t="e">
        <f>R73+R74+#REF!</f>
      </c>
      <c r="S75" s="86" t="e">
        <f>S73+S74+#REF!</f>
      </c>
      <c r="T75" s="84" t="e">
        <f t="shared" si="68"/>
        <v>#REF!</v>
      </c>
      <c r="U75" s="85" t="e">
        <f t="shared" si="69"/>
        <v>#REF!</v>
      </c>
    </row>
    <row r="76" spans="1:21" ht="15.75" thickBot="1" x14ac:dyDescent="0.3">
      <c r="A76" s="58"/>
      <c r="B76" s="59"/>
      <c r="C76" s="59"/>
      <c r="D76" s="59"/>
      <c r="E76" s="59"/>
      <c r="F76" s="94"/>
      <c r="G76" s="59"/>
      <c r="H76" s="59"/>
      <c r="I76" s="59"/>
      <c r="J76" s="59"/>
      <c r="K76" s="97"/>
      <c r="L76" s="59"/>
      <c r="M76" s="59"/>
      <c r="N76" s="59"/>
      <c r="O76" s="97"/>
      <c r="P76" s="59"/>
      <c r="Q76" s="59"/>
      <c r="R76" s="59"/>
      <c r="S76" s="97"/>
      <c r="T76" s="95"/>
      <c r="U76" s="96"/>
    </row>
    <row r="77" spans="1:21" s="1" customFormat="1" ht="23.25" x14ac:dyDescent="0.35">
      <c r="A77" s="24" t="s">
        <v>87</v>
      </c>
      <c r="B77" s="108"/>
      <c r="C77" s="4"/>
      <c r="D77" s="4"/>
      <c r="E77" s="4"/>
      <c r="F77" s="219"/>
      <c r="G77" s="4"/>
      <c r="H77" s="4"/>
      <c r="I77" s="4"/>
      <c r="J77" s="4"/>
      <c r="K77" s="220"/>
      <c r="L77" s="4"/>
      <c r="M77" s="4"/>
      <c r="N77" s="4"/>
      <c r="O77" s="221"/>
      <c r="P77" s="4"/>
      <c r="Q77" s="4"/>
      <c r="R77" s="4"/>
      <c r="S77" s="221"/>
      <c r="T77" s="222"/>
      <c r="U77" s="223"/>
    </row>
    <row r="78" spans="1:21" x14ac:dyDescent="0.25">
      <c r="A78" s="5" t="s">
        <v>88</v>
      </c>
      <c r="B78" s="118">
        <v>57</v>
      </c>
      <c r="C78" s="3"/>
      <c r="D78" s="3"/>
      <c r="E78" s="3"/>
      <c r="F78" s="54">
        <f>(C78+D78+E78)/3</f>
      </c>
      <c r="G78" s="3"/>
      <c r="H78" s="3"/>
      <c r="I78" s="3"/>
      <c r="J78" s="70">
        <f t="shared" ref="J78:J80" si="83">(G78+H78+I78)/3</f>
      </c>
      <c r="K78" s="163">
        <f>(F78+J78)/2</f>
      </c>
      <c r="L78" s="3"/>
      <c r="M78" s="3"/>
      <c r="N78" s="3"/>
      <c r="O78" s="70">
        <f t="shared" ref="O78" si="84">(L78+M78+N78)/3</f>
      </c>
      <c r="P78" s="3"/>
      <c r="Q78" s="3"/>
      <c r="R78" s="3"/>
      <c r="S78" s="70">
        <f>(P78+Q78+R78)/3</f>
      </c>
      <c r="T78" s="76">
        <f t="shared" si="68"/>
        <v>25.333333333333332</v>
      </c>
      <c r="U78" s="134">
        <f t="shared" si="69"/>
        <v>41.833333333333336</v>
      </c>
    </row>
    <row r="79" spans="1:21" x14ac:dyDescent="0.25">
      <c r="A79" s="5" t="s">
        <v>89</v>
      </c>
      <c r="B79" s="118">
        <v>11.33</v>
      </c>
      <c r="C79" s="52">
        <f>C78/C9</f>
      </c>
      <c r="D79" s="52">
        <f>D78/D9</f>
      </c>
      <c r="E79" s="52">
        <f>E78/E9</f>
      </c>
      <c r="F79" s="54">
        <f t="shared" ref="F79:F80" si="85">(C79+D79+E79)/3</f>
      </c>
      <c r="G79" s="52">
        <f>G78/G9</f>
      </c>
      <c r="H79" s="52">
        <f>H78/H9</f>
      </c>
      <c r="I79" s="52">
        <f>I78/I9</f>
      </c>
      <c r="J79" s="71">
        <f>J78/J2</f>
      </c>
      <c r="K79" s="163">
        <f t="shared" ref="K79:K80" si="86">(F79+J79)/2</f>
      </c>
      <c r="L79" s="3">
        <f>L78/L9</f>
      </c>
      <c r="M79" s="3">
        <f>M78/M9</f>
      </c>
      <c r="N79" s="3" t="e">
        <f>N78/N9</f>
      </c>
      <c r="O79" s="71">
        <f>O78/O2</f>
      </c>
      <c r="P79" s="3" t="e">
        <f>P78/P9</f>
      </c>
      <c r="Q79" s="3" t="e">
        <f>Q78/Q9</f>
      </c>
      <c r="R79" s="52" t="e">
        <f>R78/R9</f>
      </c>
      <c r="S79" s="70" t="e">
        <f t="shared" ref="S79:S80" si="87">(P79+Q79+R79)/3</f>
      </c>
      <c r="T79" s="76" t="e">
        <f t="shared" si="68"/>
        <v>#DIV/0!</v>
      </c>
      <c r="U79" s="134" t="e">
        <f t="shared" si="69"/>
        <v>#DIV/0!</v>
      </c>
    </row>
    <row r="80" spans="1:21" ht="15.75" thickBot="1" x14ac:dyDescent="0.3">
      <c r="A80" s="6" t="s">
        <v>90</v>
      </c>
      <c r="B80" s="119">
        <v>11.83</v>
      </c>
      <c r="C80" s="7"/>
      <c r="D80" s="7"/>
      <c r="E80" s="7"/>
      <c r="F80" s="224">
        <f t="shared" si="85"/>
        <v>36.666666666666664</v>
      </c>
      <c r="G80" s="7"/>
      <c r="H80" s="7"/>
      <c r="I80" s="7"/>
      <c r="J80" s="120">
        <f t="shared" si="83"/>
        <v>5.666666666666667</v>
      </c>
      <c r="K80" s="225">
        <f t="shared" si="86"/>
        <v>21.166666666666664</v>
      </c>
      <c r="L80" s="7"/>
      <c r="M80" s="7"/>
      <c r="N80" s="7"/>
      <c r="O80" s="120">
        <f t="shared" ref="O80" si="88">(L80+M80+N80)/3</f>
      </c>
      <c r="P80" s="7"/>
      <c r="Q80" s="7"/>
      <c r="R80" s="7"/>
      <c r="S80" s="120">
        <f t="shared" si="87"/>
        <v>0</v>
      </c>
      <c r="T80" s="121">
        <f t="shared" si="68"/>
        <v>3.6666666666666665</v>
      </c>
      <c r="U80" s="226">
        <f t="shared" si="69"/>
        <v>4.666666666666667</v>
      </c>
    </row>
    <row r="81" spans="1:21" ht="15.75" thickBot="1" x14ac:dyDescent="0.3">
      <c r="C81"/>
    </row>
    <row r="82" spans="1:21" ht="26.25" x14ac:dyDescent="0.4">
      <c r="A82" s="227" t="s">
        <v>91</v>
      </c>
      <c r="B82" s="228"/>
      <c r="C82" s="4"/>
      <c r="D82" s="4"/>
      <c r="E82" s="4"/>
      <c r="F82" s="219"/>
      <c r="G82" s="4"/>
      <c r="H82" s="4"/>
      <c r="I82" s="4"/>
      <c r="J82" s="4"/>
      <c r="K82" s="220"/>
      <c r="L82" s="4"/>
      <c r="M82" s="4"/>
      <c r="N82" s="4"/>
      <c r="O82" s="221"/>
      <c r="P82" s="4"/>
      <c r="Q82" s="4"/>
      <c r="R82" s="4"/>
      <c r="S82" s="221"/>
      <c r="T82" s="222"/>
      <c r="U82" s="229"/>
    </row>
    <row r="83" spans="1:21" x14ac:dyDescent="0.25">
      <c r="A83" s="5" t="s">
        <v>92</v>
      </c>
      <c r="B83" s="118">
        <v>178</v>
      </c>
      <c r="C83" s="3"/>
      <c r="D83" s="3"/>
      <c r="E83" s="3"/>
      <c r="F83" s="54">
        <f>(C83+D83+E83)/3</f>
      </c>
      <c r="G83" s="3"/>
      <c r="H83" s="3"/>
      <c r="I83" s="3"/>
      <c r="J83" s="70">
        <f t="shared" ref="J83:J85" si="89">(G83+H83+I83)/3</f>
      </c>
      <c r="K83" s="163">
        <f>(F83+J83)/2</f>
      </c>
      <c r="L83" s="3"/>
      <c r="M83" s="3"/>
      <c r="N83" s="3"/>
      <c r="O83" s="70">
        <f t="shared" ref="O83:O85" si="90">(L83+M83+N83)/3</f>
      </c>
      <c r="P83" s="3"/>
      <c r="Q83" s="3"/>
      <c r="R83" s="3"/>
      <c r="S83" s="70">
        <f>(P83+Q83+R83)/3</f>
      </c>
      <c r="T83" s="76">
        <f t="shared" si="68"/>
        <v>76.333333333333329</v>
      </c>
      <c r="U83" s="134">
        <f t="shared" si="69"/>
        <v>125</v>
      </c>
    </row>
    <row r="84" spans="1:21" x14ac:dyDescent="0.25">
      <c r="A84" s="5" t="s">
        <v>93</v>
      </c>
      <c r="B84" s="118">
        <v>8</v>
      </c>
      <c r="C84" s="3"/>
      <c r="D84" s="3"/>
      <c r="E84" s="3"/>
      <c r="F84" s="54">
        <f t="shared" ref="F84:F86" si="91">(C84+D84+E84)/3</f>
      </c>
      <c r="G84" s="3"/>
      <c r="H84" s="3"/>
      <c r="I84" s="3"/>
      <c r="J84" s="70">
        <f t="shared" si="89"/>
        <v>7.666666666666667</v>
      </c>
      <c r="K84" s="163">
        <f t="shared" ref="K84:K86" si="92">(F84+J84)/2</f>
      </c>
      <c r="L84" s="3"/>
      <c r="M84" s="3"/>
      <c r="N84" s="3"/>
      <c r="O84" s="70">
        <f t="shared" si="90"/>
        <v>3.6666666666666665</v>
      </c>
      <c r="P84" s="3"/>
      <c r="Q84" s="3"/>
      <c r="R84" s="3"/>
      <c r="S84" s="70">
        <f t="shared" ref="S84:S85" si="93">(P84+Q84+R84)/3</f>
      </c>
      <c r="T84" s="76">
        <f t="shared" si="68"/>
        <v>1.8333333333333333</v>
      </c>
      <c r="U84" s="134">
        <f t="shared" si="69"/>
        <v>4.75</v>
      </c>
    </row>
    <row r="85" spans="1:21" x14ac:dyDescent="0.25">
      <c r="A85" s="5" t="s">
        <v>94</v>
      </c>
      <c r="B85" s="118">
        <v>8</v>
      </c>
      <c r="C85" s="3"/>
      <c r="D85" s="3"/>
      <c r="E85" s="3"/>
      <c r="F85" s="54">
        <f t="shared" si="91"/>
        <v>3.6666666666666665</v>
      </c>
      <c r="G85" s="3"/>
      <c r="H85" s="3"/>
      <c r="I85" s="3"/>
      <c r="J85" s="70">
        <f t="shared" si="89"/>
        <v>2</v>
      </c>
      <c r="K85" s="163">
        <f t="shared" si="92"/>
        <v>2.833333333333333</v>
      </c>
      <c r="L85" s="3"/>
      <c r="M85" s="3"/>
      <c r="N85" s="3"/>
      <c r="O85" s="70">
        <f t="shared" si="90"/>
        <v>2.6666666666666665</v>
      </c>
      <c r="P85" s="3"/>
      <c r="Q85" s="3"/>
      <c r="R85" s="3"/>
      <c r="S85" s="70">
        <f t="shared" si="93"/>
        <v>0</v>
      </c>
      <c r="T85" s="76">
        <f t="shared" si="68"/>
        <v>1.3333333333333333</v>
      </c>
      <c r="U85" s="134">
        <f t="shared" si="69"/>
        <v>1.6666666666666665</v>
      </c>
    </row>
    <row r="86" spans="1:21" ht="15.75" thickBot="1" x14ac:dyDescent="0.3">
      <c r="A86" s="6" t="s">
        <v>95</v>
      </c>
      <c r="B86" s="230">
        <v>9.5500000000000002E-2</v>
      </c>
      <c r="C86" s="231">
        <f>(C84+C85)/C83</f>
      </c>
      <c r="D86" s="231">
        <f>(D84+D85)/D83</f>
      </c>
      <c r="E86" s="231">
        <f t="shared" ref="E86:S86" si="94">(E84+E85)/E83</f>
      </c>
      <c r="F86" s="224">
        <f t="shared" si="91"/>
        <v>4.1642082067860742E-2</v>
      </c>
      <c r="G86" s="231">
        <f t="shared" si="94"/>
        <v>7.575757575757576E-2</v>
      </c>
      <c r="H86" s="231">
        <f t="shared" si="94"/>
        <v>9.7902097902097904E-2</v>
      </c>
      <c r="I86" s="231">
        <f t="shared" si="94"/>
        <v>0</v>
      </c>
      <c r="J86" s="232">
        <f t="shared" si="94"/>
        <v>5.5662188099808073E-2</v>
      </c>
      <c r="K86" s="225">
        <f t="shared" si="92"/>
        <v>4.8652135083834411E-2</v>
      </c>
      <c r="L86" s="231">
        <f t="shared" si="94"/>
        <v>1.8796992481203006E-2</v>
      </c>
      <c r="M86" s="231">
        <f t="shared" si="94"/>
        <v>7.2916666666666671E-2</v>
      </c>
      <c r="N86" s="231" t="e">
        <f t="shared" si="94"/>
        <v>#DIV/0!</v>
      </c>
      <c r="O86" s="233">
        <f t="shared" si="94"/>
        <v>4.148471615720524E-2</v>
      </c>
      <c r="P86" s="231" t="e">
        <f t="shared" si="94"/>
        <v>#DIV/0!</v>
      </c>
      <c r="Q86" s="231" t="e">
        <f t="shared" si="94"/>
        <v>#DIV/0!</v>
      </c>
      <c r="R86" s="231" t="e">
        <f t="shared" si="94"/>
        <v>#DIV/0!</v>
      </c>
      <c r="S86" s="233" t="e">
        <f t="shared" si="94"/>
        <v>#DIV/0!</v>
      </c>
      <c r="T86" s="234" t="e">
        <f t="shared" si="68"/>
        <v>#DIV/0!</v>
      </c>
      <c r="U86" s="235" t="e">
        <f t="shared" si="69"/>
        <v>#DIV/0!</v>
      </c>
    </row>
    <row r="87" spans="1:21" ht="15.75" thickBot="1" x14ac:dyDescent="0.3">
      <c r="A87" s="101"/>
      <c r="B87" s="58"/>
      <c r="C87" s="92"/>
      <c r="D87" s="93"/>
      <c r="E87" s="93"/>
      <c r="F87" s="94"/>
      <c r="G87" s="93"/>
      <c r="H87" s="93"/>
      <c r="I87" s="93"/>
      <c r="J87" s="93"/>
      <c r="K87" s="95"/>
      <c r="L87" s="93"/>
      <c r="M87" s="93"/>
      <c r="N87" s="93"/>
      <c r="O87" s="95"/>
      <c r="P87" s="93"/>
      <c r="Q87" s="93"/>
      <c r="R87" s="93"/>
      <c r="S87" s="95"/>
      <c r="T87" s="95"/>
      <c r="U87" s="96"/>
    </row>
    <row r="88" spans="1:21" x14ac:dyDescent="0.25">
      <c r="A88" s="10" t="s">
        <v>96</v>
      </c>
      <c r="B88" s="126">
        <v>460</v>
      </c>
      <c r="C88" s="11"/>
      <c r="D88" s="11"/>
      <c r="E88" s="11"/>
      <c r="F88" s="54">
        <f>(C88+D88+E88)/3</f>
      </c>
      <c r="G88" s="11"/>
      <c r="H88" s="11"/>
      <c r="I88" s="11"/>
      <c r="J88" s="70">
        <f t="shared" ref="J88:J91" si="95">(G88+H88+I88)/3</f>
      </c>
      <c r="K88" s="163">
        <f>(F88+J88)/2</f>
      </c>
      <c r="L88" s="11"/>
      <c r="M88" s="11"/>
      <c r="N88" s="11"/>
      <c r="O88" s="70">
        <f t="shared" ref="O88:O91" si="96">(L88+M88+N88)/3</f>
      </c>
      <c r="P88" s="11"/>
      <c r="Q88" s="11"/>
      <c r="R88" s="11"/>
      <c r="S88" s="70">
        <f>(P88+Q88+R88)/3</f>
      </c>
      <c r="T88" s="76">
        <f t="shared" si="68"/>
        <v>20.166666666666668</v>
      </c>
      <c r="U88" s="134">
        <f t="shared" si="69"/>
        <v>136.08333333333334</v>
      </c>
    </row>
    <row r="89" spans="1:21" x14ac:dyDescent="0.25">
      <c r="A89" s="5" t="s">
        <v>97</v>
      </c>
      <c r="B89" s="118">
        <v>61</v>
      </c>
      <c r="C89" s="3"/>
      <c r="D89" s="3"/>
      <c r="E89" s="3"/>
      <c r="F89" s="54">
        <f t="shared" ref="F89:F91" si="97">(C89+D89+E89)/3</f>
      </c>
      <c r="G89" s="3"/>
      <c r="H89" s="3"/>
      <c r="I89" s="3"/>
      <c r="J89" s="70">
        <f t="shared" si="95"/>
        <v>40</v>
      </c>
      <c r="K89" s="163">
        <f t="shared" ref="K89:K91" si="98">(F89+J89)/2</f>
      </c>
      <c r="L89" s="3"/>
      <c r="M89" s="3"/>
      <c r="N89" s="3"/>
      <c r="O89" s="70">
        <f t="shared" si="96"/>
        <v>6.666666666666667</v>
      </c>
      <c r="P89" s="3"/>
      <c r="Q89" s="3"/>
      <c r="R89" s="3"/>
      <c r="S89" s="70">
        <f t="shared" ref="S89:S91" si="99">(P89+Q89+R89)/3</f>
      </c>
      <c r="T89" s="76">
        <f t="shared" si="68"/>
        <v>3.3333333333333335</v>
      </c>
      <c r="U89" s="134">
        <f t="shared" si="69"/>
        <v>21.666666666666668</v>
      </c>
    </row>
    <row r="90" spans="1:21" x14ac:dyDescent="0.25">
      <c r="A90" s="5" t="s">
        <v>98</v>
      </c>
      <c r="B90" s="133">
        <v>0.15</v>
      </c>
      <c r="C90" s="51">
        <f t="shared" ref="C90" si="100">C89/C88</f>
      </c>
      <c r="D90" s="51">
        <f t="shared" ref="D90" si="101">D89/D88</f>
      </c>
      <c r="E90" s="51">
        <f t="shared" ref="E90:H90" si="102">E89/E88</f>
      </c>
      <c r="F90" s="54">
        <f t="shared" si="97"/>
        <v>0.18578822226178468</v>
      </c>
      <c r="G90" s="51">
        <f t="shared" si="102"/>
        <v>0.14143920595533499</v>
      </c>
      <c r="H90" s="51">
        <f t="shared" si="102"/>
        <v>0.16822429906542055</v>
      </c>
      <c r="I90" s="51">
        <f>I89/I88</f>
      </c>
      <c r="J90" s="70">
        <f t="shared" si="95"/>
        <v>0.19697116834025186</v>
      </c>
      <c r="K90" s="163">
        <f t="shared" si="98"/>
        <v>0.19137969530101828</v>
      </c>
      <c r="L90" s="51">
        <f>L89/L88</f>
      </c>
      <c r="M90" s="51">
        <f>M89/M88</f>
      </c>
      <c r="N90" s="51" t="e">
        <f>N89/N88</f>
      </c>
      <c r="O90" s="70" t="e">
        <f t="shared" si="96"/>
        <v>#DIV/0!</v>
      </c>
      <c r="P90" s="51" t="e">
        <f>P89/P88</f>
      </c>
      <c r="Q90" s="51" t="e">
        <f>Q89/Q88</f>
      </c>
      <c r="R90" s="51" t="e">
        <f>R89/R88</f>
      </c>
      <c r="S90" s="70" t="e">
        <f t="shared" si="99"/>
        <v>#DIV/0!</v>
      </c>
      <c r="T90" s="76" t="e">
        <f t="shared" si="68"/>
        <v>#DIV/0!</v>
      </c>
      <c r="U90" s="134" t="e">
        <f t="shared" si="69"/>
        <v>#DIV/0!</v>
      </c>
    </row>
    <row r="91" spans="1:21" ht="15.75" thickBot="1" x14ac:dyDescent="0.3">
      <c r="A91" s="81" t="s">
        <v>99</v>
      </c>
      <c r="B91" s="131">
        <v>283</v>
      </c>
      <c r="C91" s="139"/>
      <c r="D91" s="139"/>
      <c r="E91" s="139"/>
      <c r="F91" s="140">
        <f t="shared" si="97"/>
        <v>244</v>
      </c>
      <c r="G91" s="139"/>
      <c r="H91" s="139"/>
      <c r="I91" s="139"/>
      <c r="J91" s="141">
        <f t="shared" si="95"/>
        <v>169</v>
      </c>
      <c r="K91" s="163">
        <f t="shared" si="98"/>
        <v>206.5</v>
      </c>
      <c r="L91" s="139"/>
      <c r="M91" s="139"/>
      <c r="N91" s="139"/>
      <c r="O91" s="141">
        <f t="shared" si="96"/>
        <v>142</v>
      </c>
      <c r="P91" s="143"/>
      <c r="Q91" s="139"/>
      <c r="R91" s="139"/>
      <c r="S91" s="141">
        <f t="shared" si="99"/>
        <v>0</v>
      </c>
      <c r="T91" s="142">
        <f t="shared" si="68"/>
        <v>71</v>
      </c>
      <c r="U91" s="144">
        <f t="shared" si="69"/>
        <v>120</v>
      </c>
    </row>
    <row r="92" spans="1:21" ht="15.75" thickBot="1" x14ac:dyDescent="0.3">
      <c r="A92" s="58"/>
      <c r="B92" s="59"/>
      <c r="C92" s="59"/>
      <c r="D92" s="59"/>
      <c r="E92" s="59"/>
      <c r="F92" s="94"/>
      <c r="G92" s="59"/>
      <c r="H92" s="59"/>
      <c r="I92" s="59"/>
      <c r="J92" s="59"/>
      <c r="K92" s="97"/>
      <c r="L92" s="59"/>
      <c r="M92" s="59"/>
      <c r="N92" s="59"/>
      <c r="O92" s="97"/>
      <c r="P92" s="59"/>
      <c r="Q92" s="59"/>
      <c r="R92" s="59"/>
      <c r="S92" s="97"/>
      <c r="T92" s="95"/>
      <c r="U92" s="96"/>
    </row>
    <row r="93" spans="1:21" s="1" customFormat="1" ht="23.25" x14ac:dyDescent="0.35">
      <c r="A93" s="55" t="s">
        <v>100</v>
      </c>
      <c r="B93" s="124"/>
      <c r="C93" s="12"/>
      <c r="D93" s="12"/>
      <c r="E93" s="12"/>
      <c r="F93" s="57"/>
      <c r="G93" s="12"/>
      <c r="H93" s="12"/>
      <c r="I93" s="12"/>
      <c r="J93" s="12"/>
      <c r="K93" s="70"/>
      <c r="L93" s="12"/>
      <c r="M93" s="12"/>
      <c r="N93" s="12"/>
      <c r="O93" s="70"/>
      <c r="P93" s="12"/>
      <c r="Q93" s="12"/>
      <c r="R93" s="12"/>
      <c r="S93" s="70"/>
      <c r="T93" s="76"/>
      <c r="U93" s="79">
        <f t="shared" si="69"/>
        <v>0</v>
      </c>
    </row>
    <row r="94" spans="1:21" x14ac:dyDescent="0.25">
      <c r="A94" s="5" t="s">
        <v>101</v>
      </c>
      <c r="B94" s="118">
        <v>1.17</v>
      </c>
      <c r="C94" s="3"/>
      <c r="D94" s="3"/>
      <c r="E94" s="3"/>
      <c r="F94" s="54">
        <f>(C94+D94+E94)/3</f>
      </c>
      <c r="G94" s="3"/>
      <c r="H94" s="3"/>
      <c r="I94" s="3"/>
      <c r="J94" s="70">
        <f t="shared" ref="J94:J96" si="103">(G94+H94+I94)/3</f>
      </c>
      <c r="K94" s="163">
        <f>(F94+J94)/2</f>
      </c>
      <c r="L94" s="3"/>
      <c r="M94" s="3"/>
      <c r="N94" s="3"/>
      <c r="O94" s="70">
        <f t="shared" ref="O94:O96" si="104">(L94+M94+N94)/3</f>
      </c>
      <c r="P94" s="3"/>
      <c r="Q94" s="3"/>
      <c r="R94" s="3"/>
      <c r="S94" s="70">
        <f>(P94+Q94+R94)/3</f>
      </c>
      <c r="T94" s="76">
        <f t="shared" si="68"/>
        <v>0.33333333333333331</v>
      </c>
      <c r="U94" s="79">
        <f t="shared" si="69"/>
        <v>0.16666666666666666</v>
      </c>
    </row>
    <row r="95" spans="1:21" x14ac:dyDescent="0.25">
      <c r="A95" s="5" t="s">
        <v>102</v>
      </c>
      <c r="B95" s="118">
        <v>3.42</v>
      </c>
      <c r="C95" s="3"/>
      <c r="D95" s="3"/>
      <c r="E95" s="3"/>
      <c r="F95" s="54">
        <f t="shared" ref="F95:F96" si="105">(C95+D95+E95)/3</f>
      </c>
      <c r="G95" s="3"/>
      <c r="H95" s="3"/>
      <c r="I95" s="3"/>
      <c r="J95" s="70">
        <f t="shared" si="103"/>
        <v>0.33333333333333331</v>
      </c>
      <c r="K95" s="163">
        <f t="shared" ref="K95:K96" si="106">(F95+J95)/2</f>
      </c>
      <c r="L95" s="3"/>
      <c r="M95" s="3"/>
      <c r="N95" s="3"/>
      <c r="O95" s="70">
        <f t="shared" si="104"/>
        <v>1</v>
      </c>
      <c r="P95" s="3"/>
      <c r="Q95" s="3"/>
      <c r="R95" s="3"/>
      <c r="S95" s="70">
        <f t="shared" ref="S95:S96" si="107">(P95+Q95+R95)/3</f>
      </c>
      <c r="T95" s="76">
        <f t="shared" si="68"/>
      </c>
      <c r="U95" s="79">
        <f t="shared" si="69"/>
      </c>
    </row>
    <row r="96" spans="1:21" ht="15.75" thickBot="1" x14ac:dyDescent="0.3">
      <c r="A96" s="6" t="s">
        <v>103</v>
      </c>
      <c r="B96" s="119">
        <v>22</v>
      </c>
      <c r="C96" s="7"/>
      <c r="D96" s="7"/>
      <c r="E96" s="7"/>
      <c r="F96" s="54">
        <f t="shared" si="105"/>
      </c>
      <c r="G96" s="7"/>
      <c r="H96" s="7"/>
      <c r="I96" s="7"/>
      <c r="J96" s="120">
        <f t="shared" si="103"/>
      </c>
      <c r="K96" s="163">
        <f t="shared" si="106"/>
      </c>
      <c r="L96" s="7"/>
      <c r="M96" s="7"/>
      <c r="N96" s="7"/>
      <c r="O96" s="120">
        <f t="shared" si="104"/>
      </c>
      <c r="P96" s="7"/>
      <c r="Q96" s="7"/>
      <c r="R96" s="7"/>
      <c r="S96" s="120">
        <f t="shared" si="107"/>
      </c>
      <c r="T96" s="121">
        <f t="shared" si="68"/>
      </c>
      <c r="U96" s="122">
        <f t="shared" si="69"/>
      </c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251E-3354-4A03-843F-C57F2E498C20}">
  <dimension ref="A1:AC76"/>
  <sheetViews>
    <sheetView zoomScale="85" zoomScaleNormal="85" workbookViewId="0">
      <pane xSplit="1" topLeftCell="I1" activePane="topRight" state="frozen"/>
      <selection activeCell="A57" sqref="A57"/>
      <selection pane="topRight" activeCell="K4" sqref="K4"/>
    </sheetView>
  </sheetViews>
  <sheetFormatPr defaultRowHeight="15" x14ac:dyDescent="0.25"/>
  <cols>
    <col min="1" max="1" width="46.140625" bestFit="1" customWidth="1"/>
    <col min="2" max="2" width="16.5703125" customWidth="1"/>
    <col min="3" max="3" width="10.5703125" style="74" customWidth="1"/>
    <col min="4" max="10" width="10.5703125" customWidth="1"/>
    <col min="11" max="11" width="17.140625" style="80" customWidth="1"/>
    <col min="12" max="14" width="10.5703125" customWidth="1"/>
    <col min="15" max="15" width="10.5703125" style="80" customWidth="1"/>
    <col min="16" max="18" width="10.5703125" customWidth="1"/>
    <col min="19" max="19" width="10.5703125" style="80" customWidth="1"/>
    <col min="20" max="20" width="11.42578125" bestFit="1" customWidth="1"/>
    <col min="21" max="21" width="18.5703125" style="80" bestFit="1" customWidth="1"/>
  </cols>
  <sheetData>
    <row r="1" spans="1:23" s="1" customFormat="1" ht="24" thickBot="1" x14ac:dyDescent="0.4">
      <c r="A1" s="25" t="s">
        <v>104</v>
      </c>
      <c r="B1" s="10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310" t="s">
        <v>9</v>
      </c>
      <c r="K1" s="104" t="s">
        <v>10</v>
      </c>
      <c r="L1" s="19" t="s">
        <v>11</v>
      </c>
      <c r="M1" s="19" t="s">
        <v>12</v>
      </c>
      <c r="N1" s="19" t="s">
        <v>13</v>
      </c>
      <c r="O1" s="104" t="s">
        <v>14</v>
      </c>
      <c r="P1" s="19" t="s">
        <v>15</v>
      </c>
      <c r="Q1" s="19" t="s">
        <v>16</v>
      </c>
      <c r="R1" s="19" t="s">
        <v>17</v>
      </c>
      <c r="S1" s="104" t="s">
        <v>18</v>
      </c>
      <c r="T1" s="246" t="s">
        <v>19</v>
      </c>
      <c r="U1" s="250" t="s">
        <v>20</v>
      </c>
      <c r="V1"/>
      <c r="W1"/>
    </row>
    <row r="2" spans="1:23" x14ac:dyDescent="0.25">
      <c r="A2" s="151" t="s">
        <v>21</v>
      </c>
      <c r="B2" s="152"/>
      <c r="C2" s="153"/>
      <c r="D2" s="153"/>
      <c r="E2" s="153"/>
      <c r="F2" s="38">
        <f>C2+D2+E2</f>
      </c>
      <c r="G2" s="153"/>
      <c r="H2" s="153"/>
      <c r="I2" s="302"/>
      <c r="J2" s="38">
        <f>G2+H2+I2</f>
      </c>
      <c r="K2" s="307">
        <f>F2+J2</f>
      </c>
      <c r="L2" s="153"/>
      <c r="M2" s="153"/>
      <c r="N2" s="153"/>
      <c r="O2" s="38">
        <f>L2+M2+N2</f>
      </c>
      <c r="P2" s="153"/>
      <c r="Q2" s="153"/>
      <c r="R2" s="153"/>
      <c r="S2" s="38">
        <f>P2+Q2+R2</f>
      </c>
      <c r="T2" s="247">
        <f>O2+S2</f>
      </c>
      <c r="U2" s="251">
        <f>(F2+J2+O2+S2)</f>
      </c>
    </row>
    <row r="3" spans="1:23" ht="15.75" thickBot="1" x14ac:dyDescent="0.3">
      <c r="A3" s="148" t="s">
        <v>22</v>
      </c>
      <c r="B3" s="157"/>
      <c r="C3" s="149"/>
      <c r="D3" s="149"/>
      <c r="E3" s="149"/>
      <c r="F3" s="243">
        <f>C3+D3+E3</f>
      </c>
      <c r="G3" s="149"/>
      <c r="H3" s="149"/>
      <c r="I3" s="303"/>
      <c r="J3" s="38">
        <f>G3+H3+I3</f>
      </c>
      <c r="K3" s="308">
        <f>(F3+J3)</f>
      </c>
      <c r="L3" s="149"/>
      <c r="M3" s="149"/>
      <c r="N3" s="149"/>
      <c r="O3" s="245">
        <f>L3+M3+N3</f>
      </c>
      <c r="P3" s="149"/>
      <c r="Q3" s="149"/>
      <c r="R3" s="149"/>
      <c r="S3" s="245">
        <f>P3+Q3+R3</f>
      </c>
      <c r="T3" s="247">
        <f>O3+S3</f>
      </c>
      <c r="U3" s="252">
        <f>K3+T3</f>
      </c>
    </row>
    <row r="4" spans="1:23" ht="15.75" thickBot="1" x14ac:dyDescent="0.3">
      <c r="A4" s="238" t="s">
        <v>23</v>
      </c>
      <c r="B4" s="239"/>
      <c r="C4" s="240">
        <f>C2/C3</f>
      </c>
      <c r="D4" s="240">
        <f t="shared" ref="D4:F4" si="0">D2/D3</f>
      </c>
      <c r="E4" s="241">
        <f t="shared" si="0"/>
        <v>0.27766351295763059</v>
      </c>
      <c r="F4" s="244">
        <f t="shared" si="0"/>
        <v>0.70531879884821058</v>
      </c>
      <c r="G4" s="242">
        <f t="shared" ref="G4" si="1">G2/G3</f>
      </c>
      <c r="H4" s="240">
        <f t="shared" ref="H4" si="2">H2/H3</f>
      </c>
      <c r="I4" s="241">
        <f t="shared" ref="I4" si="3">I2/I3</f>
      </c>
      <c r="J4" s="105">
        <f t="shared" ref="J4" si="4">J2/J3</f>
      </c>
      <c r="K4" s="242">
        <f>K2/K3</f>
      </c>
      <c r="L4" s="240">
        <f t="shared" ref="L4" si="5">L2/L3</f>
      </c>
      <c r="M4" s="240">
        <f t="shared" ref="M4" si="6">M2/M3</f>
      </c>
      <c r="N4" s="241">
        <f t="shared" ref="N4" si="7">N2/N3</f>
      </c>
      <c r="O4" s="244">
        <f t="shared" ref="O4" si="8">O2/O3</f>
      </c>
      <c r="P4" s="242">
        <f t="shared" ref="P4" si="9">P2/P3</f>
      </c>
      <c r="Q4" s="240">
        <f t="shared" ref="Q4" si="10">Q2/Q3</f>
      </c>
      <c r="R4" s="241">
        <f t="shared" ref="R4" si="11">R2/R3</f>
      </c>
      <c r="S4" s="331">
        <f t="shared" ref="S4" si="12">S2/S3</f>
      </c>
      <c r="T4" s="202">
        <f t="shared" ref="T4:U4" si="13">T2/T3</f>
      </c>
      <c r="U4" s="253">
        <f t="shared" si="13"/>
        <v>0.74511434511434516</v>
      </c>
    </row>
    <row r="5" spans="1:23" x14ac:dyDescent="0.25">
      <c r="A5" s="151" t="s">
        <v>26</v>
      </c>
      <c r="B5" s="265"/>
      <c r="C5" s="161">
        <f>(C2/C9)</f>
      </c>
      <c r="D5" s="161">
        <f t="shared" ref="D5:G5" si="14">(D2/D9)</f>
      </c>
      <c r="E5" s="161">
        <f t="shared" si="14"/>
        <v>4821.4285714285716</v>
      </c>
      <c r="F5" s="202"/>
      <c r="G5" s="161">
        <f t="shared" si="14"/>
        <v>25449.571428571428</v>
      </c>
      <c r="H5" s="161">
        <f t="shared" ref="H5" si="15">(H2/H9)</f>
      </c>
      <c r="I5" s="304">
        <f t="shared" ref="I5" si="16">(I2/I9)</f>
      </c>
      <c r="J5" s="105"/>
      <c r="K5" s="266"/>
      <c r="L5" s="304">
        <f t="shared" ref="L5:M5" si="17">(L2/L9)</f>
      </c>
      <c r="M5" s="304">
        <f t="shared" si="17"/>
        <v>17011.142857142859</v>
      </c>
      <c r="N5" s="304">
        <f>(N2/N9)</f>
      </c>
      <c r="O5" s="202"/>
      <c r="P5" s="266"/>
      <c r="Q5" s="267"/>
      <c r="R5" s="268"/>
      <c r="S5" s="105"/>
      <c r="T5" s="105"/>
      <c r="U5" s="329"/>
    </row>
    <row r="6" spans="1:23" x14ac:dyDescent="0.25">
      <c r="A6" s="148" t="s">
        <v>27</v>
      </c>
      <c r="B6" s="157"/>
      <c r="C6" s="162"/>
      <c r="D6" s="162"/>
      <c r="E6" s="162"/>
      <c r="F6" s="202"/>
      <c r="G6" s="162"/>
      <c r="H6" s="162"/>
      <c r="I6" s="305"/>
      <c r="J6" s="105"/>
      <c r="K6" s="269"/>
      <c r="L6" s="270"/>
      <c r="M6" s="270"/>
      <c r="N6" s="271"/>
      <c r="O6" s="202"/>
      <c r="P6" s="272"/>
      <c r="Q6" s="270"/>
      <c r="R6" s="271"/>
      <c r="S6" s="105"/>
      <c r="T6" s="105"/>
      <c r="U6" s="329"/>
    </row>
    <row r="7" spans="1:23" x14ac:dyDescent="0.25">
      <c r="A7" s="273" t="s">
        <v>105</v>
      </c>
      <c r="B7" s="274"/>
      <c r="C7" s="275"/>
      <c r="D7" s="275"/>
      <c r="E7" s="275"/>
      <c r="F7" s="202"/>
      <c r="G7" s="275"/>
      <c r="H7" s="275"/>
      <c r="I7" s="277"/>
      <c r="J7" s="105"/>
      <c r="K7" s="276"/>
      <c r="L7" s="275"/>
      <c r="M7" s="275"/>
      <c r="N7" s="277"/>
      <c r="O7" s="202"/>
      <c r="P7" s="276"/>
      <c r="Q7" s="275"/>
      <c r="R7" s="277"/>
      <c r="S7" s="105"/>
      <c r="T7" s="105"/>
      <c r="U7" s="329"/>
    </row>
    <row r="8" spans="1:23" s="80" customFormat="1" x14ac:dyDescent="0.25">
      <c r="A8" s="278" t="s">
        <v>106</v>
      </c>
      <c r="B8" s="279"/>
      <c r="C8" s="196"/>
      <c r="D8" s="196"/>
      <c r="E8" s="196"/>
      <c r="F8" s="280"/>
      <c r="G8" s="196"/>
      <c r="H8" s="196"/>
      <c r="I8" s="282"/>
      <c r="J8" s="71"/>
      <c r="K8" s="281"/>
      <c r="L8" s="196"/>
      <c r="M8" s="196"/>
      <c r="N8" s="282"/>
      <c r="O8" s="280"/>
      <c r="P8" s="281"/>
      <c r="Q8" s="196"/>
      <c r="R8" s="282"/>
      <c r="S8" s="71"/>
      <c r="T8" s="71"/>
      <c r="U8" s="330"/>
    </row>
    <row r="9" spans="1:23" ht="15.75" thickBot="1" x14ac:dyDescent="0.3">
      <c r="A9" s="10" t="s">
        <v>28</v>
      </c>
      <c r="B9" s="126"/>
      <c r="C9" s="11"/>
      <c r="D9" s="11"/>
      <c r="E9" s="11"/>
      <c r="F9" s="57">
        <f>(C9+D9+E9)/3</f>
      </c>
      <c r="G9" s="11"/>
      <c r="H9" s="11"/>
      <c r="I9" s="306"/>
      <c r="J9" s="71">
        <f>(G9+H9+I9)/3</f>
      </c>
      <c r="K9" s="309">
        <f>(F9+J9)/2</f>
      </c>
      <c r="L9" s="11"/>
      <c r="M9" s="11"/>
      <c r="N9" s="11"/>
      <c r="O9" s="70">
        <f>(L9+M9+N9)/3</f>
      </c>
      <c r="P9" s="11"/>
      <c r="Q9" s="11"/>
      <c r="R9" s="306"/>
      <c r="S9" s="71">
        <f>(P9+Q9+R9)/3</f>
      </c>
      <c r="T9" s="71">
        <f>(O9+S9)/2</f>
      </c>
      <c r="U9" s="330">
        <f>(J9+T9)/2</f>
      </c>
    </row>
    <row r="10" spans="1:23" ht="15.75" thickBot="1" x14ac:dyDescent="0.3">
      <c r="A10" s="92"/>
      <c r="B10" s="123"/>
      <c r="C10" s="93"/>
      <c r="D10" s="93"/>
      <c r="E10" s="93"/>
      <c r="F10" s="94"/>
      <c r="G10" s="93"/>
      <c r="H10" s="93"/>
      <c r="I10" s="93"/>
      <c r="J10" s="311"/>
      <c r="K10" s="95"/>
      <c r="L10" s="93"/>
      <c r="M10" s="93"/>
      <c r="N10" s="93"/>
      <c r="O10" s="95"/>
      <c r="P10" s="93"/>
      <c r="Q10" s="93"/>
      <c r="R10" s="93"/>
      <c r="S10" s="311"/>
      <c r="T10" s="332"/>
      <c r="U10" s="254"/>
    </row>
    <row r="11" spans="1:23" s="1" customFormat="1" ht="23.25" x14ac:dyDescent="0.35">
      <c r="A11" s="55" t="s">
        <v>46</v>
      </c>
      <c r="B11" s="124"/>
      <c r="C11" s="12"/>
      <c r="D11" s="12"/>
      <c r="E11" s="12"/>
      <c r="F11" s="57"/>
      <c r="G11" s="12"/>
      <c r="H11" s="12"/>
      <c r="I11" s="12"/>
      <c r="J11" s="70"/>
      <c r="K11" s="163"/>
      <c r="L11" s="12"/>
      <c r="M11" s="12"/>
      <c r="N11" s="12"/>
      <c r="O11" s="70"/>
      <c r="P11" s="12"/>
      <c r="Q11" s="12"/>
      <c r="R11" s="12"/>
      <c r="S11" s="70"/>
      <c r="T11" s="248"/>
      <c r="U11" s="255"/>
      <c r="V11"/>
      <c r="W11"/>
    </row>
    <row r="12" spans="1:23" x14ac:dyDescent="0.25">
      <c r="A12" s="5" t="s">
        <v>47</v>
      </c>
      <c r="B12" s="118"/>
      <c r="C12" s="3"/>
      <c r="D12" s="3"/>
      <c r="E12" s="3"/>
      <c r="F12" s="54">
        <f>(C12+D12+E12)/3</f>
      </c>
      <c r="G12" s="3"/>
      <c r="H12" s="3"/>
      <c r="I12" s="3"/>
      <c r="J12" s="70">
        <f t="shared" ref="J12:J18" si="18">(G12+H12+I12)/3</f>
      </c>
      <c r="K12" s="163">
        <f>(F12+J12)/2</f>
      </c>
      <c r="L12" s="3"/>
      <c r="M12" s="3"/>
      <c r="N12" s="3"/>
      <c r="O12" s="70">
        <f t="shared" ref="O12:O18" si="19">(L12+M12+N12)/3</f>
      </c>
      <c r="P12" s="3"/>
      <c r="Q12" s="3"/>
      <c r="R12" s="3"/>
      <c r="S12" s="70">
        <f>(P12+Q12+R12)/3</f>
      </c>
      <c r="T12" s="248">
        <f t="shared" ref="T12:T46" si="20">(O12+S12)/2</f>
      </c>
      <c r="U12" s="256">
        <f t="shared" ref="U12:U46" si="21">(J12+T12)/2</f>
      </c>
    </row>
    <row r="13" spans="1:23" x14ac:dyDescent="0.25">
      <c r="A13" s="5" t="s">
        <v>107</v>
      </c>
      <c r="B13" s="199"/>
      <c r="C13" s="37"/>
      <c r="D13" s="37"/>
      <c r="E13" s="37"/>
      <c r="F13" s="54">
        <f t="shared" ref="F13:F18" si="22">(C13+D13+E13)/3</f>
      </c>
      <c r="G13" s="37"/>
      <c r="H13" s="37"/>
      <c r="I13" s="37"/>
      <c r="J13" s="70">
        <f t="shared" si="18"/>
        <v>107030</v>
      </c>
      <c r="K13" s="163">
        <f t="shared" ref="K13:K18" si="23">(F13+J13)/2</f>
      </c>
      <c r="L13" s="37"/>
      <c r="M13" s="37"/>
      <c r="N13" s="37"/>
      <c r="O13" s="70">
        <f t="shared" si="19"/>
        <v>20822.333333333332</v>
      </c>
      <c r="P13" s="37"/>
      <c r="Q13" s="37"/>
      <c r="R13" s="37"/>
      <c r="S13" s="70">
        <f t="shared" ref="S13:S18" si="24">(P13+Q13+R13)/3</f>
      </c>
      <c r="T13" s="248">
        <f t="shared" si="20"/>
        <v>10411.166666666666</v>
      </c>
      <c r="U13" s="256">
        <f t="shared" si="21"/>
        <v>58720.583333333336</v>
      </c>
    </row>
    <row r="14" spans="1:23" x14ac:dyDescent="0.25">
      <c r="A14" s="5" t="s">
        <v>108</v>
      </c>
      <c r="B14" s="199"/>
      <c r="C14" s="37">
        <f>C13/C12</f>
      </c>
      <c r="D14" s="37"/>
      <c r="E14" s="37">
        <f>E13/E12</f>
      </c>
      <c r="F14" s="54">
        <f>(C14+E14)/2</f>
      </c>
      <c r="G14" s="37">
        <f>G13/G12</f>
      </c>
      <c r="H14" s="37">
        <f>H13/H12</f>
      </c>
      <c r="I14" s="37">
        <f>I13/I12</f>
      </c>
      <c r="J14" s="70">
        <f t="shared" si="18"/>
        <v>27885.108225108226</v>
      </c>
      <c r="K14" s="163">
        <f t="shared" si="23"/>
        <v>23975.741612554113</v>
      </c>
      <c r="L14" s="37">
        <f>L13/L12</f>
      </c>
      <c r="M14" s="37">
        <f>M13/M12</f>
      </c>
      <c r="N14" s="37" t="e">
        <f>N13/N12</f>
      </c>
      <c r="O14" s="70" t="e">
        <f t="shared" si="19"/>
        <v>#DIV/0!</v>
      </c>
      <c r="P14" s="37" t="e">
        <f>P13/P12</f>
      </c>
      <c r="Q14" s="37" t="e">
        <f>Q13/Q12</f>
      </c>
      <c r="R14" s="37" t="e">
        <f>R13/R12</f>
      </c>
      <c r="S14" s="70" t="e">
        <f t="shared" si="24"/>
        <v>#DIV/0!</v>
      </c>
      <c r="T14" s="248" t="e">
        <f t="shared" si="20"/>
        <v>#DIV/0!</v>
      </c>
      <c r="U14" s="256" t="e">
        <f t="shared" si="21"/>
        <v>#DIV/0!</v>
      </c>
    </row>
    <row r="15" spans="1:23" x14ac:dyDescent="0.25">
      <c r="A15" s="5" t="s">
        <v>50</v>
      </c>
      <c r="B15" s="118"/>
      <c r="C15" s="52">
        <f>C12/C9</f>
      </c>
      <c r="D15" s="3">
        <f>D12/D9</f>
      </c>
      <c r="E15" s="52">
        <f>E12/E9</f>
      </c>
      <c r="F15" s="160">
        <f t="shared" si="22"/>
        <v>0.46428571428571425</v>
      </c>
      <c r="G15" s="52">
        <f>G12/G9</f>
      </c>
      <c r="H15" s="52">
        <f>H12/H9</f>
      </c>
      <c r="I15" s="52">
        <f>I12/I9</f>
      </c>
      <c r="J15" s="70">
        <f t="shared" si="18"/>
        <v>0.52380952380952384</v>
      </c>
      <c r="K15" s="163">
        <f t="shared" si="23"/>
        <v>0.49404761904761907</v>
      </c>
      <c r="L15" s="52">
        <f>L12/L9</f>
      </c>
      <c r="M15" s="52">
        <f>M12/M9</f>
      </c>
      <c r="N15" s="52">
        <f>N12/N9</f>
      </c>
      <c r="O15" s="70">
        <f t="shared" si="19"/>
        <v>0.14285714285714285</v>
      </c>
      <c r="P15" s="52">
        <f>P12/P9</f>
      </c>
      <c r="Q15" s="52">
        <f>Q12/Q9</f>
      </c>
      <c r="R15" s="52">
        <f>R12/R2</f>
      </c>
      <c r="S15" s="70">
        <f t="shared" si="24"/>
        <v>0</v>
      </c>
      <c r="T15" s="248">
        <f t="shared" si="20"/>
        <v>7.1428571428571425E-2</v>
      </c>
      <c r="U15" s="256">
        <f t="shared" si="21"/>
        <v>0.29761904761904762</v>
      </c>
    </row>
    <row r="16" spans="1:23" x14ac:dyDescent="0.25">
      <c r="A16" s="5" t="s">
        <v>109</v>
      </c>
      <c r="B16" s="199"/>
      <c r="C16" s="37">
        <f>C13/C9</f>
      </c>
      <c r="D16" s="37">
        <f>D13/D9</f>
      </c>
      <c r="E16" s="37">
        <f>E13/E9</f>
      </c>
      <c r="F16" s="54">
        <f t="shared" si="22"/>
        <v>9780.1845238095248</v>
      </c>
      <c r="G16" s="37">
        <f>G13/G9</f>
      </c>
      <c r="H16" s="37">
        <f>H13/H9</f>
      </c>
      <c r="I16" s="37">
        <f>I13/I9</f>
      </c>
      <c r="J16" s="70">
        <f>(G16+H16+I16)/3</f>
      </c>
      <c r="K16" s="163">
        <f>(F16+J16)/2</f>
      </c>
      <c r="L16" s="37">
        <f>L13/L9</f>
      </c>
      <c r="M16" s="37">
        <f>M13/M9</f>
      </c>
      <c r="N16" s="37">
        <f>N13/N9</f>
      </c>
      <c r="O16" s="70">
        <f t="shared" si="19"/>
        <v>2974.6190476190477</v>
      </c>
      <c r="P16" s="37">
        <f>P13/P2</f>
      </c>
      <c r="Q16" s="37">
        <f>Q13/Q9</f>
      </c>
      <c r="R16" s="37">
        <f>R13/R2</f>
      </c>
      <c r="S16" s="70">
        <f t="shared" si="24"/>
        <v>0</v>
      </c>
      <c r="T16" s="248">
        <f t="shared" si="20"/>
        <v>1487.3095238095239</v>
      </c>
      <c r="U16" s="256">
        <f t="shared" si="21"/>
        <v>8388.6547619047615</v>
      </c>
    </row>
    <row r="17" spans="1:29" x14ac:dyDescent="0.25">
      <c r="A17" s="5" t="s">
        <v>52</v>
      </c>
      <c r="B17" s="129"/>
      <c r="C17" s="51"/>
      <c r="D17" s="41"/>
      <c r="E17" s="51"/>
      <c r="F17" s="42">
        <f>(C17+E17)/2</f>
      </c>
      <c r="G17" s="51"/>
      <c r="H17" s="51"/>
      <c r="I17" s="51"/>
      <c r="J17" s="73">
        <f t="shared" si="18"/>
        <v>0.2261</v>
      </c>
      <c r="K17" s="163">
        <f t="shared" si="23"/>
        <v>0.2218</v>
      </c>
      <c r="L17" s="51"/>
      <c r="M17" s="51"/>
      <c r="N17" s="51"/>
      <c r="O17" s="70">
        <f t="shared" si="19"/>
        <v>0.14166666666666669</v>
      </c>
      <c r="P17" s="51"/>
      <c r="Q17" s="51"/>
      <c r="R17" s="51"/>
      <c r="S17" s="70">
        <f t="shared" si="24"/>
        <v>0</v>
      </c>
      <c r="T17" s="248">
        <f t="shared" si="20"/>
        <v>7.0833333333333345E-2</v>
      </c>
      <c r="U17" s="256">
        <f t="shared" si="21"/>
        <v>0.14846666666666666</v>
      </c>
    </row>
    <row r="18" spans="1:29" ht="15.75" thickBot="1" x14ac:dyDescent="0.3">
      <c r="A18" s="81" t="s">
        <v>54</v>
      </c>
      <c r="B18" s="127"/>
      <c r="C18" s="56"/>
      <c r="D18" s="56"/>
      <c r="E18" s="56"/>
      <c r="F18" s="54">
        <f t="shared" si="22"/>
        <v>3</v>
      </c>
      <c r="G18" s="56"/>
      <c r="H18" s="56"/>
      <c r="I18" s="56"/>
      <c r="J18" s="83">
        <f t="shared" si="18"/>
        <v>3.3333333333333335</v>
      </c>
      <c r="K18" s="163">
        <f t="shared" si="23"/>
        <v>3.166666666666667</v>
      </c>
      <c r="L18" s="56"/>
      <c r="M18" s="56"/>
      <c r="N18" s="56"/>
      <c r="O18" s="83">
        <f t="shared" si="19"/>
        <v>1</v>
      </c>
      <c r="P18" s="56"/>
      <c r="Q18" s="56"/>
      <c r="R18" s="56"/>
      <c r="S18" s="83">
        <f t="shared" si="24"/>
        <v>0</v>
      </c>
      <c r="T18" s="249">
        <f t="shared" si="20"/>
        <v>0.5</v>
      </c>
      <c r="U18" s="257">
        <f t="shared" si="21"/>
        <v>1.9166666666666667</v>
      </c>
    </row>
    <row r="19" spans="1:29" ht="15.75" thickBot="1" x14ac:dyDescent="0.3">
      <c r="A19" s="58"/>
      <c r="B19" s="59"/>
      <c r="C19" s="59"/>
      <c r="D19" s="59"/>
      <c r="E19" s="59"/>
      <c r="F19" s="94"/>
      <c r="G19" s="59"/>
      <c r="H19" s="59"/>
      <c r="I19" s="59"/>
      <c r="J19" s="97"/>
      <c r="K19" s="97"/>
      <c r="L19" s="59"/>
      <c r="M19" s="59"/>
      <c r="N19" s="59"/>
      <c r="O19" s="97"/>
      <c r="P19" s="59"/>
      <c r="Q19" s="59"/>
      <c r="R19" s="59"/>
      <c r="S19" s="97"/>
      <c r="T19" s="95"/>
      <c r="U19" s="96"/>
    </row>
    <row r="20" spans="1:29" s="1" customFormat="1" ht="23.25" x14ac:dyDescent="0.35">
      <c r="A20" s="55" t="s">
        <v>56</v>
      </c>
      <c r="B20" s="124"/>
      <c r="C20" s="12"/>
      <c r="D20" s="12"/>
      <c r="E20" s="12"/>
      <c r="F20" s="57"/>
      <c r="G20" s="12"/>
      <c r="H20" s="12"/>
      <c r="I20" s="12"/>
      <c r="J20" s="70"/>
      <c r="K20" s="163"/>
      <c r="L20" s="12"/>
      <c r="M20" s="12"/>
      <c r="N20" s="12"/>
      <c r="O20" s="70"/>
      <c r="P20" s="12"/>
      <c r="Q20" s="12"/>
      <c r="R20" s="12"/>
      <c r="S20" s="70"/>
      <c r="T20" s="76"/>
      <c r="U20" s="79"/>
      <c r="V20"/>
      <c r="W20"/>
    </row>
    <row r="21" spans="1:29" x14ac:dyDescent="0.25">
      <c r="A21" s="5" t="s">
        <v>57</v>
      </c>
      <c r="B21" s="118"/>
      <c r="C21" s="3"/>
      <c r="D21" s="3"/>
      <c r="E21" s="3"/>
      <c r="F21" s="54">
        <f>(C21+D21+E21)/3</f>
      </c>
      <c r="G21" s="3"/>
      <c r="H21" s="3"/>
      <c r="I21" s="3"/>
      <c r="J21" s="70">
        <f t="shared" ref="J21:J29" si="25">(G21+H21+I21)/3</f>
      </c>
      <c r="K21" s="163">
        <f>(F21+J21)/2</f>
      </c>
      <c r="L21" s="3"/>
      <c r="M21" s="3"/>
      <c r="N21" s="3"/>
      <c r="O21" s="70">
        <f t="shared" ref="O21:O29" si="26">(L21+M21+N21)/3</f>
      </c>
      <c r="P21" s="3"/>
      <c r="Q21" s="3"/>
      <c r="R21" s="3"/>
      <c r="S21" s="70">
        <f>(P21+Q21+R21)/3</f>
      </c>
      <c r="T21" s="76">
        <f t="shared" si="20"/>
        <v>17.666666666666668</v>
      </c>
      <c r="U21" s="134">
        <f t="shared" si="21"/>
        <v>29.666666666666664</v>
      </c>
    </row>
    <row r="22" spans="1:29" x14ac:dyDescent="0.25">
      <c r="A22" s="5" t="s">
        <v>58</v>
      </c>
      <c r="B22" s="118"/>
      <c r="C22" s="3"/>
      <c r="D22" s="3"/>
      <c r="E22" s="3"/>
      <c r="F22" s="54">
        <f t="shared" ref="F22:F29" si="27">(C22+D22+E22)/3</f>
      </c>
      <c r="G22" s="3"/>
      <c r="H22" s="3"/>
      <c r="I22" s="3"/>
      <c r="J22" s="70">
        <f t="shared" si="25"/>
        <v>26.666666666666668</v>
      </c>
      <c r="K22" s="163">
        <f t="shared" ref="K22:K29" si="28">(F22+J22)/2</f>
      </c>
      <c r="L22" s="3"/>
      <c r="M22" s="3"/>
      <c r="N22" s="3"/>
      <c r="O22" s="70">
        <f t="shared" si="26"/>
        <v>24.333333333333332</v>
      </c>
      <c r="P22" s="3"/>
      <c r="Q22" s="3"/>
      <c r="R22" s="3"/>
      <c r="S22" s="70">
        <f t="shared" ref="S22:S29" si="29">(P22+Q22+R22)/3</f>
      </c>
      <c r="T22" s="76">
        <f t="shared" si="20"/>
        <v>12.166666666666666</v>
      </c>
      <c r="U22" s="134">
        <f t="shared" si="21"/>
        <v>19.416666666666668</v>
      </c>
    </row>
    <row r="23" spans="1:29" x14ac:dyDescent="0.25">
      <c r="A23" s="5" t="s">
        <v>59</v>
      </c>
      <c r="B23" s="118"/>
      <c r="C23" s="3"/>
      <c r="D23" s="3"/>
      <c r="E23" s="3"/>
      <c r="F23" s="54">
        <f t="shared" si="27"/>
        <v>0</v>
      </c>
      <c r="G23" s="3"/>
      <c r="H23" s="3"/>
      <c r="I23" s="3"/>
      <c r="J23" s="70">
        <f t="shared" si="25"/>
        <v>0</v>
      </c>
      <c r="K23" s="163">
        <f t="shared" si="28"/>
        <v>0</v>
      </c>
      <c r="L23" s="3"/>
      <c r="M23" s="3"/>
      <c r="N23" s="3"/>
      <c r="O23" s="70">
        <f t="shared" si="26"/>
        <v>0</v>
      </c>
      <c r="P23" s="3"/>
      <c r="Q23" s="3"/>
      <c r="R23" s="3"/>
      <c r="S23" s="70">
        <f t="shared" si="29"/>
        <v>0</v>
      </c>
      <c r="T23" s="76">
        <f t="shared" si="20"/>
        <v>0</v>
      </c>
      <c r="U23" s="134">
        <f t="shared" si="21"/>
        <v>0</v>
      </c>
    </row>
    <row r="24" spans="1:29" x14ac:dyDescent="0.25">
      <c r="A24" s="5" t="s">
        <v>60</v>
      </c>
      <c r="B24" s="118"/>
      <c r="C24" s="52">
        <f>C21/C12</f>
      </c>
      <c r="D24" s="52" t="e">
        <f>D21/D12</f>
      </c>
      <c r="E24" s="52">
        <f>E21/E12</f>
      </c>
      <c r="F24" s="54" t="e">
        <f t="shared" si="27"/>
        <v>#DIV/0!</v>
      </c>
      <c r="G24" s="52">
        <f>G21/G12</f>
      </c>
      <c r="H24" s="52">
        <f>H21/H12</f>
      </c>
      <c r="I24" s="52">
        <f>I21/I12</f>
      </c>
      <c r="J24" s="70">
        <f t="shared" si="25"/>
        <v>13.584415584415583</v>
      </c>
      <c r="K24" s="163" t="e">
        <f t="shared" si="28"/>
        <v>#DIV/0!</v>
      </c>
      <c r="L24" s="52">
        <f>L21/L12</f>
      </c>
      <c r="M24" s="52">
        <f>M21/M12</f>
      </c>
      <c r="N24" s="52" t="e">
        <f>N21/N12</f>
      </c>
      <c r="O24" s="70" t="e">
        <f t="shared" si="26"/>
        <v>#DIV/0!</v>
      </c>
      <c r="P24" s="52" t="e">
        <f>P21/P12</f>
      </c>
      <c r="Q24" s="52" t="e">
        <f>Q21/Q12</f>
      </c>
      <c r="R24" s="52" t="e">
        <f>R21/R12</f>
      </c>
      <c r="S24" s="70" t="e">
        <f t="shared" si="29"/>
        <v>#DIV/0!</v>
      </c>
      <c r="T24" s="76" t="e">
        <f t="shared" si="20"/>
        <v>#DIV/0!</v>
      </c>
      <c r="U24" s="134" t="e">
        <f t="shared" si="21"/>
        <v>#DIV/0!</v>
      </c>
    </row>
    <row r="25" spans="1:29" x14ac:dyDescent="0.25">
      <c r="A25" s="5" t="s">
        <v>61</v>
      </c>
      <c r="B25" s="118"/>
      <c r="C25" s="52">
        <f>C22/C12</f>
      </c>
      <c r="D25" s="52" t="e">
        <f>D22/D12</f>
      </c>
      <c r="E25" s="52">
        <f>E22/E12</f>
      </c>
      <c r="F25" s="71" t="e">
        <f t="shared" si="27"/>
        <v>#DIV/0!</v>
      </c>
      <c r="G25" s="52">
        <f>G22/G12</f>
      </c>
      <c r="H25" s="52">
        <f>H22/H12</f>
      </c>
      <c r="I25" s="52">
        <f>I22/I12</f>
      </c>
      <c r="J25" s="70">
        <f t="shared" si="25"/>
        <v>8.9935064935064943</v>
      </c>
      <c r="K25" s="163" t="e">
        <f t="shared" si="28"/>
        <v>#DIV/0!</v>
      </c>
      <c r="L25" s="52">
        <f>L22/L12</f>
      </c>
      <c r="M25" s="52">
        <f>M22/M12</f>
      </c>
      <c r="N25" s="52" t="e">
        <f>N22/N12</f>
      </c>
      <c r="O25" s="70" t="e">
        <f t="shared" si="26"/>
        <v>#DIV/0!</v>
      </c>
      <c r="P25" s="52" t="e">
        <f>P22/P12</f>
      </c>
      <c r="Q25" s="52" t="e">
        <f>Q22/Q12</f>
      </c>
      <c r="R25" s="52" t="e">
        <f>R22/R12</f>
      </c>
      <c r="S25" s="70" t="e">
        <f t="shared" si="29"/>
        <v>#DIV/0!</v>
      </c>
      <c r="T25" s="76" t="e">
        <f t="shared" si="20"/>
        <v>#DIV/0!</v>
      </c>
      <c r="U25" s="134" t="e">
        <f t="shared" si="21"/>
        <v>#DIV/0!</v>
      </c>
    </row>
    <row r="26" spans="1:29" x14ac:dyDescent="0.25">
      <c r="A26" s="5" t="s">
        <v>62</v>
      </c>
      <c r="B26" s="118"/>
      <c r="C26" s="52">
        <f>C29/C22</f>
      </c>
      <c r="D26" s="52">
        <f>D29/D22</f>
      </c>
      <c r="E26" s="52">
        <f>E29/E22</f>
      </c>
      <c r="F26" s="71">
        <f t="shared" si="27"/>
        <v>1.8068762129627143</v>
      </c>
      <c r="G26" s="52">
        <f>G29/G22</f>
      </c>
      <c r="H26" s="52">
        <f>H29/H22</f>
      </c>
      <c r="I26" s="52">
        <f>I29/I22</f>
      </c>
      <c r="J26" s="70">
        <f t="shared" si="25"/>
        <v>2.0632298965632301</v>
      </c>
      <c r="K26" s="163">
        <f t="shared" si="28"/>
        <v>1.9350530547629723</v>
      </c>
      <c r="L26" s="52">
        <f>L29/L22</f>
      </c>
      <c r="M26" s="52">
        <f>M29/M22</f>
      </c>
      <c r="N26" s="52" t="e">
        <f>N29/N22</f>
      </c>
      <c r="O26" s="70" t="e">
        <f t="shared" si="26"/>
        <v>#DIV/0!</v>
      </c>
      <c r="P26" s="52" t="e">
        <f>P29/P22</f>
      </c>
      <c r="Q26" s="52" t="e">
        <f>Q29/Q22</f>
      </c>
      <c r="R26" s="52" t="e">
        <f>R29/R22</f>
      </c>
      <c r="S26" s="70" t="e">
        <f t="shared" si="29"/>
        <v>#DIV/0!</v>
      </c>
      <c r="T26" s="76" t="e">
        <f t="shared" si="20"/>
        <v>#DIV/0!</v>
      </c>
      <c r="U26" s="134" t="e">
        <f t="shared" si="21"/>
        <v>#DIV/0!</v>
      </c>
    </row>
    <row r="27" spans="1:29" x14ac:dyDescent="0.25">
      <c r="A27" s="5" t="s">
        <v>63</v>
      </c>
      <c r="B27" s="118"/>
      <c r="C27" s="3"/>
      <c r="D27" s="3"/>
      <c r="E27" s="3"/>
      <c r="F27" s="54">
        <f t="shared" si="27"/>
        <v>20.666666666666668</v>
      </c>
      <c r="G27" s="3"/>
      <c r="H27" s="3"/>
      <c r="I27" s="3"/>
      <c r="J27" s="70">
        <f t="shared" si="25"/>
        <v>13.333333333333334</v>
      </c>
      <c r="K27" s="163">
        <f t="shared" si="28"/>
        <v>17</v>
      </c>
      <c r="L27" s="3"/>
      <c r="M27" s="3"/>
      <c r="N27" s="3"/>
      <c r="O27" s="70">
        <f t="shared" si="26"/>
        <v>10</v>
      </c>
      <c r="P27" s="3"/>
      <c r="Q27" s="3"/>
      <c r="R27" s="3"/>
      <c r="S27" s="70">
        <f t="shared" si="29"/>
        <v>0</v>
      </c>
      <c r="T27" s="76">
        <f t="shared" si="20"/>
        <v>5</v>
      </c>
      <c r="U27" s="134">
        <f t="shared" si="21"/>
        <v>9.1666666666666679</v>
      </c>
      <c r="AC27"/>
    </row>
    <row r="28" spans="1:29" x14ac:dyDescent="0.25">
      <c r="A28" s="5" t="s">
        <v>64</v>
      </c>
      <c r="B28" s="118"/>
      <c r="C28" s="3"/>
      <c r="D28" s="3"/>
      <c r="E28" s="3"/>
      <c r="F28" s="54">
        <f t="shared" si="27"/>
        <v>19.666666666666668</v>
      </c>
      <c r="G28" s="3"/>
      <c r="H28" s="56"/>
      <c r="I28" s="56"/>
      <c r="J28" s="70">
        <f t="shared" si="25"/>
        <v>12</v>
      </c>
      <c r="K28" s="163">
        <f t="shared" si="28"/>
        <v>15.833333333333334</v>
      </c>
      <c r="L28" s="56"/>
      <c r="M28" s="56"/>
      <c r="N28" s="56"/>
      <c r="O28" s="70">
        <f t="shared" si="26"/>
        <v>8.3333333333333339</v>
      </c>
      <c r="P28" s="56"/>
      <c r="Q28" s="56"/>
      <c r="R28" s="56"/>
      <c r="S28" s="70">
        <f t="shared" si="29"/>
        <v>0</v>
      </c>
      <c r="T28" s="76">
        <f t="shared" si="20"/>
        <v>4.166666666666667</v>
      </c>
      <c r="U28" s="134">
        <f t="shared" si="21"/>
        <v>8.0833333333333339</v>
      </c>
      <c r="AC28"/>
    </row>
    <row r="29" spans="1:29" ht="15.75" thickBot="1" x14ac:dyDescent="0.3">
      <c r="A29" s="81" t="s">
        <v>65</v>
      </c>
      <c r="B29" s="127"/>
      <c r="C29" s="56"/>
      <c r="D29" s="56"/>
      <c r="E29" s="56"/>
      <c r="F29" s="54">
        <f t="shared" si="27"/>
        <v>96.666666666666671</v>
      </c>
      <c r="G29" s="56"/>
      <c r="H29" s="56"/>
      <c r="I29" s="56"/>
      <c r="J29" s="83">
        <f t="shared" si="25"/>
        <v>52.666666666666664</v>
      </c>
      <c r="K29" s="163">
        <f t="shared" si="28"/>
        <v>74.666666666666671</v>
      </c>
      <c r="L29" s="56"/>
      <c r="M29" s="56"/>
      <c r="N29" s="56"/>
      <c r="O29" s="83">
        <f t="shared" si="26"/>
        <v>41.333333333333336</v>
      </c>
      <c r="P29" s="56"/>
      <c r="Q29" s="56"/>
      <c r="R29" s="56"/>
      <c r="S29" s="83">
        <f t="shared" si="29"/>
        <v>0</v>
      </c>
      <c r="T29" s="84">
        <f t="shared" si="20"/>
        <v>20.666666666666668</v>
      </c>
      <c r="U29" s="135">
        <f t="shared" si="21"/>
        <v>36.666666666666664</v>
      </c>
    </row>
    <row r="30" spans="1:29" ht="15.75" thickBot="1" x14ac:dyDescent="0.3">
      <c r="A30" s="58"/>
      <c r="B30" s="59"/>
      <c r="C30" s="59"/>
      <c r="D30" s="59"/>
      <c r="E30" s="59"/>
      <c r="F30" s="94"/>
      <c r="G30" s="59"/>
      <c r="H30" s="59"/>
      <c r="I30" s="59"/>
      <c r="J30" s="72"/>
      <c r="K30" s="97"/>
      <c r="L30" s="59"/>
      <c r="M30" s="59"/>
      <c r="N30" s="59"/>
      <c r="O30" s="97"/>
      <c r="P30" s="59"/>
      <c r="Q30" s="59"/>
      <c r="R30" s="59"/>
      <c r="S30" s="97"/>
      <c r="T30" s="95"/>
      <c r="U30" s="96"/>
    </row>
    <row r="31" spans="1:29" s="1" customFormat="1" ht="23.25" x14ac:dyDescent="0.35">
      <c r="A31" s="55" t="s">
        <v>66</v>
      </c>
      <c r="B31" s="124"/>
      <c r="C31" s="12"/>
      <c r="D31" s="12"/>
      <c r="E31" s="12"/>
      <c r="F31" s="57"/>
      <c r="G31" s="12"/>
      <c r="H31" s="12"/>
      <c r="I31" s="12"/>
      <c r="J31" s="70"/>
      <c r="K31" s="163"/>
      <c r="L31" s="12"/>
      <c r="M31" s="12"/>
      <c r="N31" s="12"/>
      <c r="O31" s="70"/>
      <c r="P31" s="12"/>
      <c r="Q31" s="12"/>
      <c r="R31" s="12"/>
      <c r="S31" s="70"/>
      <c r="T31" s="76"/>
      <c r="U31" s="79"/>
      <c r="V31"/>
      <c r="W31"/>
      <c r="X31"/>
      <c r="Y31"/>
      <c r="Z31"/>
      <c r="AA31"/>
      <c r="AB31"/>
      <c r="AC31"/>
    </row>
    <row r="32" spans="1:29" x14ac:dyDescent="0.25">
      <c r="A32" s="5" t="s">
        <v>67</v>
      </c>
      <c r="B32" s="118"/>
      <c r="C32" s="3"/>
      <c r="D32" s="3"/>
      <c r="E32" s="3"/>
      <c r="F32" s="54">
        <f>(C32+D32+E32)/3</f>
      </c>
      <c r="G32" s="3"/>
      <c r="H32" s="3"/>
      <c r="I32" s="3"/>
      <c r="J32" s="70">
        <f t="shared" ref="J32:J34" si="30">(G32+H32+I32)/3</f>
      </c>
      <c r="K32" s="163">
        <f>(F32+J32)/2</f>
      </c>
      <c r="L32" s="3"/>
      <c r="M32" s="3"/>
      <c r="N32" s="3"/>
      <c r="O32" s="70">
        <f t="shared" ref="O32:O34" si="31">(L32+M32+N32)/3</f>
      </c>
      <c r="P32" s="3"/>
      <c r="Q32" s="3"/>
      <c r="R32" s="3"/>
      <c r="S32" s="70">
        <f>(P32+Q32+R32)/3</f>
      </c>
      <c r="T32" s="76">
        <f t="shared" si="20"/>
        <v>0.5</v>
      </c>
      <c r="U32" s="134">
        <f t="shared" si="21"/>
        <v>0.58333333333333326</v>
      </c>
    </row>
    <row r="33" spans="1:21" x14ac:dyDescent="0.25">
      <c r="A33" s="5" t="s">
        <v>68</v>
      </c>
      <c r="B33" s="118"/>
      <c r="C33" s="3"/>
      <c r="D33" s="3"/>
      <c r="E33" s="3"/>
      <c r="F33" s="54">
        <f t="shared" ref="F33:F42" si="32">(C33+D33+E33)/3</f>
      </c>
      <c r="G33" s="3"/>
      <c r="H33" s="3"/>
      <c r="I33" s="3"/>
      <c r="J33" s="70">
        <f t="shared" si="30"/>
        <v>3.6666666666666665</v>
      </c>
      <c r="K33" s="163">
        <f t="shared" ref="K33:K42" si="33">(F33+J33)/2</f>
      </c>
      <c r="L33" s="3"/>
      <c r="M33" s="3"/>
      <c r="N33" s="3"/>
      <c r="O33" s="70">
        <f t="shared" si="31"/>
        <v>2.3333333333333335</v>
      </c>
      <c r="P33" s="3"/>
      <c r="Q33" s="3"/>
      <c r="R33" s="3"/>
      <c r="S33" s="70">
        <f t="shared" ref="S33:S34" si="34">(P33+Q33+R33)/3</f>
      </c>
      <c r="T33" s="76">
        <f t="shared" si="20"/>
        <v>1.1666666666666667</v>
      </c>
      <c r="U33" s="134">
        <f t="shared" si="21"/>
        <v>2.4166666666666665</v>
      </c>
    </row>
    <row r="34" spans="1:21" x14ac:dyDescent="0.25">
      <c r="A34" s="5" t="s">
        <v>69</v>
      </c>
      <c r="B34" s="118"/>
      <c r="C34" s="3"/>
      <c r="D34" s="3"/>
      <c r="E34" s="3"/>
      <c r="F34" s="54">
        <f t="shared" si="32"/>
        <v>0</v>
      </c>
      <c r="G34" s="3"/>
      <c r="H34" s="3"/>
      <c r="I34" s="3"/>
      <c r="J34" s="70">
        <f t="shared" si="30"/>
        <v>1</v>
      </c>
      <c r="K34" s="163">
        <f t="shared" si="33"/>
        <v>0.5</v>
      </c>
      <c r="L34" s="3"/>
      <c r="M34" s="3"/>
      <c r="N34" s="3"/>
      <c r="O34" s="70">
        <f t="shared" si="31"/>
        <v>0.66666666666666663</v>
      </c>
      <c r="P34" s="3"/>
      <c r="Q34" s="3"/>
      <c r="R34" s="3"/>
      <c r="S34" s="70">
        <f t="shared" si="34"/>
        <v>0</v>
      </c>
      <c r="T34" s="76">
        <f t="shared" si="20"/>
        <v>0.33333333333333331</v>
      </c>
      <c r="U34" s="134">
        <f t="shared" si="21"/>
        <v>0.66666666666666663</v>
      </c>
    </row>
    <row r="35" spans="1:21" x14ac:dyDescent="0.25">
      <c r="A35" s="5" t="s">
        <v>70</v>
      </c>
      <c r="B35" s="118"/>
      <c r="C35" s="3">
        <f>C32+C33+C34</f>
      </c>
      <c r="D35" s="3">
        <f>D32+D33+D34</f>
      </c>
      <c r="E35" s="3">
        <f>E32+E33+E34</f>
      </c>
      <c r="F35" s="54">
        <f t="shared" si="32"/>
        <v>7.666666666666667</v>
      </c>
      <c r="G35" s="3">
        <f>G32+G33+G34</f>
      </c>
      <c r="H35" s="3">
        <f>H32+H33+H34</f>
      </c>
      <c r="I35" s="3">
        <f>I32+I33+I34</f>
      </c>
      <c r="J35" s="71">
        <f t="shared" ref="J35:S36" si="35">J32+J33+J34</f>
      </c>
      <c r="K35" s="163">
        <f t="shared" si="33"/>
        <v>6.5</v>
      </c>
      <c r="L35" s="3">
        <f>L32+L33+L34</f>
      </c>
      <c r="M35" s="3">
        <f>M32+M33+M34</f>
      </c>
      <c r="N35" s="3"/>
      <c r="O35" s="71">
        <f t="shared" si="35"/>
        <v>4</v>
      </c>
      <c r="P35" s="3"/>
      <c r="Q35" s="3"/>
      <c r="R35" s="3"/>
      <c r="S35" s="71">
        <f t="shared" si="35"/>
        <v>0</v>
      </c>
      <c r="T35" s="76">
        <f t="shared" si="20"/>
        <v>2</v>
      </c>
      <c r="U35" s="134">
        <f t="shared" si="21"/>
        <v>3.6666666666666665</v>
      </c>
    </row>
    <row r="36" spans="1:21" x14ac:dyDescent="0.25">
      <c r="A36" s="5" t="s">
        <v>71</v>
      </c>
      <c r="B36" s="118"/>
      <c r="C36" s="3"/>
      <c r="D36" s="3"/>
      <c r="E36" s="3"/>
      <c r="F36" s="54">
        <f t="shared" si="32"/>
        <v>7</v>
      </c>
      <c r="G36" s="3"/>
      <c r="H36" s="3"/>
      <c r="I36" s="3"/>
      <c r="J36" s="71">
        <f>(J33+J34+J35)/3</f>
      </c>
      <c r="K36" s="163">
        <f t="shared" si="33"/>
        <v>5.166666666666667</v>
      </c>
      <c r="L36" s="3"/>
      <c r="M36" s="3"/>
      <c r="N36" s="3"/>
      <c r="O36" s="71">
        <f t="shared" si="35"/>
        <v>7</v>
      </c>
      <c r="P36" s="3"/>
      <c r="Q36" s="3"/>
      <c r="R36" s="3"/>
      <c r="S36" s="70">
        <f>(P36+Q36+R36)/3</f>
      </c>
      <c r="T36" s="76">
        <f t="shared" si="20"/>
        <v>3.5</v>
      </c>
      <c r="U36" s="134"/>
    </row>
    <row r="37" spans="1:21" x14ac:dyDescent="0.25">
      <c r="A37" s="5" t="s">
        <v>110</v>
      </c>
      <c r="B37" s="129"/>
      <c r="C37" s="41">
        <f t="shared" ref="C37" si="36">(C32+C33)/C35</f>
      </c>
      <c r="D37" s="41">
        <f t="shared" ref="D37:S37" si="37">(D32+D33)/D35</f>
      </c>
      <c r="E37" s="41">
        <f t="shared" si="37"/>
        <v>1</v>
      </c>
      <c r="F37" s="54">
        <f t="shared" si="32"/>
        <v>1</v>
      </c>
      <c r="G37" s="41">
        <f t="shared" ref="G37" si="38">(G32+G33)/G35</f>
      </c>
      <c r="H37" s="41">
        <f t="shared" si="37"/>
        <v>0.75</v>
      </c>
      <c r="I37" s="41">
        <f t="shared" si="37"/>
        <v>0.75</v>
      </c>
      <c r="J37" s="42">
        <f t="shared" si="37"/>
        <v>0.8125</v>
      </c>
      <c r="K37" s="163">
        <f t="shared" si="33"/>
        <v>0.90625</v>
      </c>
      <c r="L37" s="41">
        <f t="shared" si="37"/>
        <v>1</v>
      </c>
      <c r="M37" s="41">
        <f t="shared" si="37"/>
        <v>0.6</v>
      </c>
      <c r="N37" s="41" t="e">
        <f t="shared" si="37"/>
        <v>#DIV/0!</v>
      </c>
      <c r="O37" s="105">
        <f t="shared" si="37"/>
        <v>0.83333333333333337</v>
      </c>
      <c r="P37" s="41" t="e">
        <f t="shared" si="37"/>
        <v>#DIV/0!</v>
      </c>
      <c r="Q37" s="41" t="e">
        <f t="shared" si="37"/>
        <v>#DIV/0!</v>
      </c>
      <c r="R37" s="41" t="e">
        <f t="shared" si="37"/>
        <v>#DIV/0!</v>
      </c>
      <c r="S37" s="105" t="e">
        <f t="shared" si="37"/>
        <v>#DIV/0!</v>
      </c>
      <c r="T37" s="77" t="e">
        <f t="shared" si="20"/>
        <v>#DIV/0!</v>
      </c>
      <c r="U37" s="136" t="e">
        <f t="shared" si="21"/>
        <v>#DIV/0!</v>
      </c>
    </row>
    <row r="38" spans="1:21" x14ac:dyDescent="0.25">
      <c r="A38" s="5" t="s">
        <v>73</v>
      </c>
      <c r="B38" s="118"/>
      <c r="C38" s="156">
        <f>C35/C9</f>
      </c>
      <c r="D38" s="3">
        <f>D35/D9</f>
      </c>
      <c r="E38" s="52">
        <f>E35/E9</f>
      </c>
      <c r="F38" s="54">
        <f t="shared" si="32"/>
        <v>1.017857142857143</v>
      </c>
      <c r="G38" s="156">
        <f>G35/G9</f>
      </c>
      <c r="H38" s="156">
        <f>H35/H9</f>
      </c>
      <c r="I38" s="156">
        <f>I35/I9</f>
      </c>
      <c r="J38" s="160">
        <f>(G38+H38+I38)/3</f>
      </c>
      <c r="K38" s="163">
        <f t="shared" si="33"/>
        <v>0.88988095238095244</v>
      </c>
      <c r="L38" s="156">
        <f>L35/L9</f>
      </c>
      <c r="M38" s="156">
        <f>M35/M9</f>
      </c>
      <c r="N38" s="156">
        <f>N35/N9</f>
      </c>
      <c r="O38" s="71">
        <f>O35/O2</f>
      </c>
      <c r="P38" s="156">
        <f>P35/P9</f>
      </c>
      <c r="Q38" s="156">
        <f>Q35/Q9</f>
      </c>
      <c r="R38" s="156">
        <f>R35/R9</f>
      </c>
      <c r="S38" s="71">
        <f>S35/S2</f>
      </c>
      <c r="T38" s="76">
        <f t="shared" si="20"/>
        <v>6.4458739960551254E-6</v>
      </c>
      <c r="U38" s="134">
        <f t="shared" si="21"/>
        <v>0.38095560388937894</v>
      </c>
    </row>
    <row r="39" spans="1:21" x14ac:dyDescent="0.25">
      <c r="A39" s="5" t="s">
        <v>74</v>
      </c>
      <c r="B39" s="118"/>
      <c r="C39" s="52">
        <f>C35/C12</f>
      </c>
      <c r="D39" s="52" t="e">
        <f>D35/D12</f>
      </c>
      <c r="E39" s="52">
        <f>E35/E12</f>
      </c>
      <c r="F39" s="71" t="e">
        <f t="shared" si="32"/>
        <v>#DIV/0!</v>
      </c>
      <c r="G39" s="52">
        <f>G35/G12</f>
      </c>
      <c r="H39" s="52">
        <f>H35/H12</f>
      </c>
      <c r="I39" s="52">
        <f>I35/I12</f>
      </c>
      <c r="J39" s="71">
        <f>J35/J12</f>
      </c>
      <c r="K39" s="163" t="e">
        <f t="shared" si="33"/>
        <v>#DIV/0!</v>
      </c>
      <c r="L39" s="52">
        <f t="shared" ref="L39:S39" si="39">L35/L12</f>
      </c>
      <c r="M39" s="52">
        <f t="shared" si="39"/>
        <v>5</v>
      </c>
      <c r="N39" s="52" t="e">
        <f t="shared" si="39"/>
        <v>#DIV/0!</v>
      </c>
      <c r="O39" s="71">
        <f t="shared" si="39"/>
        <v>4</v>
      </c>
      <c r="P39" s="52" t="e">
        <f t="shared" si="39"/>
        <v>#DIV/0!</v>
      </c>
      <c r="Q39" s="52" t="e">
        <f t="shared" si="39"/>
        <v>#DIV/0!</v>
      </c>
      <c r="R39" s="52" t="e">
        <f t="shared" si="39"/>
        <v>#DIV/0!</v>
      </c>
      <c r="S39" s="71" t="e">
        <f t="shared" si="39"/>
        <v>#DIV/0!</v>
      </c>
      <c r="T39" s="76" t="e">
        <f t="shared" si="20"/>
        <v>#DIV/0!</v>
      </c>
      <c r="U39" s="134" t="e">
        <f t="shared" si="21"/>
        <v>#DIV/0!</v>
      </c>
    </row>
    <row r="40" spans="1:21" x14ac:dyDescent="0.25">
      <c r="A40" s="5" t="s">
        <v>75</v>
      </c>
      <c r="B40" s="118"/>
      <c r="C40" s="52">
        <f>C12/C48</f>
      </c>
      <c r="D40" s="52" t="e">
        <f>D12/D48</f>
      </c>
      <c r="E40" s="52">
        <f>E12/E48</f>
      </c>
      <c r="F40" s="71" t="e">
        <f t="shared" si="32"/>
        <v>#DIV/0!</v>
      </c>
      <c r="G40" s="52">
        <f>G12/G48</f>
      </c>
      <c r="H40" s="52" t="e">
        <f>H12/H48</f>
      </c>
      <c r="I40" s="52">
        <f>I12/I48</f>
      </c>
      <c r="J40" s="71">
        <f>J12/J48</f>
      </c>
      <c r="K40" s="163" t="e">
        <f t="shared" si="33"/>
        <v>#DIV/0!</v>
      </c>
      <c r="L40" s="52" t="e">
        <f t="shared" ref="L40:S40" si="40">L12/L48</f>
      </c>
      <c r="M40" s="52" t="e">
        <f t="shared" si="40"/>
        <v>#DIV/0!</v>
      </c>
      <c r="N40" s="52" t="e">
        <f t="shared" si="40"/>
        <v>#DIV/0!</v>
      </c>
      <c r="O40" s="71" t="e">
        <f t="shared" si="40"/>
        <v>#DIV/0!</v>
      </c>
      <c r="P40" s="52" t="e">
        <f t="shared" si="40"/>
        <v>#DIV/0!</v>
      </c>
      <c r="Q40" s="52" t="e">
        <f t="shared" si="40"/>
        <v>#DIV/0!</v>
      </c>
      <c r="R40" s="52" t="e">
        <f t="shared" si="40"/>
        <v>#DIV/0!</v>
      </c>
      <c r="S40" s="71" t="e">
        <f t="shared" si="40"/>
        <v>#DIV/0!</v>
      </c>
      <c r="T40" s="76" t="e">
        <f t="shared" si="20"/>
        <v>#DIV/0!</v>
      </c>
      <c r="U40" s="134" t="e">
        <f t="shared" si="21"/>
        <v>#DIV/0!</v>
      </c>
    </row>
    <row r="41" spans="1:21" x14ac:dyDescent="0.25">
      <c r="A41" s="5" t="s">
        <v>76</v>
      </c>
      <c r="B41" s="118"/>
      <c r="C41" s="52" t="e">
        <f>C12/C49</f>
      </c>
      <c r="D41" s="52" t="e">
        <f>D12/D49</f>
      </c>
      <c r="E41" s="52">
        <f>E12/E49</f>
      </c>
      <c r="F41" s="71" t="e">
        <f t="shared" si="32"/>
        <v>#DIV/0!</v>
      </c>
      <c r="G41" s="52">
        <f>G12/G49</f>
      </c>
      <c r="H41" s="52">
        <f>H12/H49</f>
      </c>
      <c r="I41" s="52">
        <f>I12/I49</f>
      </c>
      <c r="J41" s="71">
        <f>J12/J49</f>
      </c>
      <c r="K41" s="163" t="e">
        <f t="shared" si="33"/>
        <v>#DIV/0!</v>
      </c>
      <c r="L41" s="52">
        <f>L12/L49</f>
      </c>
      <c r="M41" s="52">
        <f>M12/M49</f>
      </c>
      <c r="N41" s="52" t="e">
        <f>N12/N49</f>
      </c>
      <c r="O41" s="71" t="e">
        <f>(L41+M41+N41)/3</f>
      </c>
      <c r="P41" s="52" t="e">
        <f>P12/P49</f>
      </c>
      <c r="Q41" s="52" t="e">
        <f>Q12/Q49</f>
      </c>
      <c r="R41" s="52" t="e">
        <f>R12/R49</f>
      </c>
      <c r="S41" s="71" t="e">
        <f>S12/S49</f>
      </c>
      <c r="T41" s="76" t="e">
        <f t="shared" si="20"/>
        <v>#DIV/0!</v>
      </c>
      <c r="U41" s="134" t="e">
        <f t="shared" si="21"/>
        <v>#DIV/0!</v>
      </c>
    </row>
    <row r="42" spans="1:21" ht="15.75" thickBot="1" x14ac:dyDescent="0.3">
      <c r="A42" s="81" t="s">
        <v>111</v>
      </c>
      <c r="B42" s="131"/>
      <c r="C42" s="138" t="e">
        <f>C12/#REF!</f>
      </c>
      <c r="D42" s="138" t="e">
        <f>D12/#REF!</f>
      </c>
      <c r="E42" s="138" t="e">
        <f>E12/#REF!</f>
      </c>
      <c r="F42" s="71" t="e">
        <f t="shared" si="32"/>
        <v>#REF!</v>
      </c>
      <c r="G42" s="138" t="e">
        <f>G12/#REF!</f>
      </c>
      <c r="H42" s="138" t="e">
        <f>H12/#REF!</f>
      </c>
      <c r="I42" s="138" t="e">
        <f>I12/#REF!</f>
      </c>
      <c r="J42" s="86" t="e">
        <f>J12/#REF!</f>
      </c>
      <c r="K42" s="163" t="e">
        <f t="shared" si="33"/>
        <v>#REF!</v>
      </c>
      <c r="L42" s="138" t="e">
        <f>L12/#REF!</f>
      </c>
      <c r="M42" s="138" t="e">
        <f>M12/#REF!</f>
      </c>
      <c r="N42" s="138" t="e">
        <f>N12/#REF!</f>
      </c>
      <c r="O42" s="86" t="e">
        <f>O14/#REF!</f>
      </c>
      <c r="P42" s="138" t="e">
        <f>P12/#REF!</f>
      </c>
      <c r="Q42" s="138" t="e">
        <f>Q12/#REF!</f>
      </c>
      <c r="R42" s="138" t="e">
        <f>R12/#REF!</f>
      </c>
      <c r="S42" s="86" t="e">
        <f>S12/#REF!</f>
      </c>
      <c r="T42" s="84" t="e">
        <f t="shared" si="20"/>
        <v>#DIV/0!</v>
      </c>
      <c r="U42" s="135" t="e">
        <f t="shared" si="21"/>
        <v>#REF!</v>
      </c>
    </row>
    <row r="43" spans="1:21" ht="15.75" thickBot="1" x14ac:dyDescent="0.3">
      <c r="A43" s="92"/>
      <c r="B43" s="123"/>
      <c r="C43" s="93"/>
      <c r="D43" s="93"/>
      <c r="E43" s="93"/>
      <c r="F43" s="94"/>
      <c r="G43" s="93"/>
      <c r="H43" s="93"/>
      <c r="I43" s="93"/>
      <c r="J43" s="93"/>
      <c r="K43" s="95"/>
      <c r="L43" s="93"/>
      <c r="M43" s="93"/>
      <c r="N43" s="93"/>
      <c r="O43" s="95"/>
      <c r="P43" s="93"/>
      <c r="Q43" s="93"/>
      <c r="R43" s="93"/>
      <c r="S43" s="95"/>
      <c r="T43" s="95"/>
      <c r="U43" s="96"/>
    </row>
    <row r="44" spans="1:21" x14ac:dyDescent="0.25">
      <c r="A44" s="10" t="s">
        <v>77</v>
      </c>
      <c r="B44" s="126"/>
      <c r="C44" s="11"/>
      <c r="D44" s="11"/>
      <c r="E44" s="11"/>
      <c r="F44" s="54">
        <f>(C44+D44+E44)/3</f>
      </c>
      <c r="G44" s="11"/>
      <c r="H44" s="11"/>
      <c r="I44" s="11"/>
      <c r="J44" s="70">
        <f t="shared" ref="J44:J45" si="41">(G44+H44+I44)/3</f>
      </c>
      <c r="K44" s="163">
        <f>(F44+J44)/2</f>
      </c>
      <c r="L44" s="11"/>
      <c r="M44" s="11"/>
      <c r="N44" s="11"/>
      <c r="O44" s="70">
        <f t="shared" ref="O44:O45" si="42">(L44+M44+N44)/3</f>
      </c>
      <c r="P44" s="11"/>
      <c r="Q44" s="11"/>
      <c r="R44" s="11"/>
      <c r="S44" s="70">
        <f>(P44+Q44+R44)/3</f>
      </c>
      <c r="T44" s="76">
        <f t="shared" si="20"/>
        <v>0</v>
      </c>
      <c r="U44" s="79">
        <f t="shared" si="21"/>
        <v>0</v>
      </c>
    </row>
    <row r="45" spans="1:21" x14ac:dyDescent="0.25">
      <c r="A45" s="5" t="s">
        <v>78</v>
      </c>
      <c r="B45" s="118"/>
      <c r="C45" s="3"/>
      <c r="D45" s="3"/>
      <c r="E45" s="3"/>
      <c r="F45" s="54">
        <f t="shared" ref="F45:F46" si="43">(C45+D45+E45)/3</f>
      </c>
      <c r="G45" s="3"/>
      <c r="H45" s="3"/>
      <c r="I45" s="3"/>
      <c r="J45" s="70">
        <f t="shared" si="41"/>
        <v>0</v>
      </c>
      <c r="K45" s="163">
        <f t="shared" ref="K45:K46" si="44">(F45+J45)/2</f>
      </c>
      <c r="L45" s="3"/>
      <c r="M45" s="3"/>
      <c r="N45" s="3"/>
      <c r="O45" s="70">
        <f t="shared" si="42"/>
        <v>0.33333333333333331</v>
      </c>
      <c r="P45" s="3"/>
      <c r="Q45" s="3"/>
      <c r="R45" s="3"/>
      <c r="S45" s="70">
        <f>(P45+Q45+R45)/3</f>
      </c>
      <c r="T45" s="76">
        <f t="shared" si="20"/>
        <v>0.16666666666666666</v>
      </c>
      <c r="U45" s="79">
        <f t="shared" si="21"/>
        <v>8.3333333333333329E-2</v>
      </c>
    </row>
    <row r="46" spans="1:21" ht="15.75" thickBot="1" x14ac:dyDescent="0.3">
      <c r="A46" s="81" t="s">
        <v>79</v>
      </c>
      <c r="B46" s="127"/>
      <c r="C46" s="56">
        <f t="shared" ref="C46" si="45">C44+C45</f>
      </c>
      <c r="D46" s="56">
        <f>D44+D45</f>
      </c>
      <c r="E46" s="56">
        <f t="shared" ref="E46:S46" si="46">E44+E45</f>
      </c>
      <c r="F46" s="54">
        <f t="shared" si="43"/>
        <v>0.33333333333333331</v>
      </c>
      <c r="G46" s="56"/>
      <c r="H46" s="56">
        <f t="shared" si="46"/>
        <v>0</v>
      </c>
      <c r="I46" s="56">
        <f t="shared" si="46"/>
        <v>0</v>
      </c>
      <c r="J46" s="86">
        <f t="shared" si="46"/>
        <v>0</v>
      </c>
      <c r="K46" s="163">
        <f t="shared" si="44"/>
        <v>0.16666666666666666</v>
      </c>
      <c r="L46" s="56">
        <f t="shared" si="46"/>
        <v>0</v>
      </c>
      <c r="M46" s="56">
        <f t="shared" si="46"/>
        <v>1</v>
      </c>
      <c r="N46" s="56">
        <f t="shared" si="46"/>
        <v>0</v>
      </c>
      <c r="O46" s="86">
        <f t="shared" si="46"/>
        <v>0.33333333333333331</v>
      </c>
      <c r="P46" s="56">
        <f t="shared" si="46"/>
        <v>0</v>
      </c>
      <c r="Q46" s="56">
        <f t="shared" si="46"/>
        <v>0</v>
      </c>
      <c r="R46" s="56">
        <f t="shared" si="46"/>
        <v>0</v>
      </c>
      <c r="S46" s="86">
        <f t="shared" si="46"/>
        <v>0</v>
      </c>
      <c r="T46" s="84">
        <f t="shared" si="20"/>
        <v>0.16666666666666666</v>
      </c>
      <c r="U46" s="85">
        <f t="shared" si="21"/>
        <v>8.3333333333333329E-2</v>
      </c>
    </row>
    <row r="47" spans="1:21" ht="15.75" thickBot="1" x14ac:dyDescent="0.3">
      <c r="A47" s="92"/>
      <c r="B47" s="123"/>
      <c r="C47" s="93"/>
      <c r="D47" s="93"/>
      <c r="E47" s="93"/>
      <c r="F47" s="94"/>
      <c r="G47" s="93"/>
      <c r="H47" s="93"/>
      <c r="I47" s="93"/>
      <c r="J47" s="93"/>
      <c r="K47" s="95"/>
      <c r="L47" s="93"/>
      <c r="M47" s="93"/>
      <c r="N47" s="93"/>
      <c r="O47" s="95"/>
      <c r="P47" s="93"/>
      <c r="Q47" s="93"/>
      <c r="R47" s="93"/>
      <c r="S47" s="95"/>
      <c r="T47" s="95"/>
      <c r="U47" s="96"/>
    </row>
    <row r="48" spans="1:21" x14ac:dyDescent="0.25">
      <c r="A48" s="10" t="s">
        <v>80</v>
      </c>
      <c r="B48" s="126"/>
      <c r="C48" s="11"/>
      <c r="D48" s="11"/>
      <c r="E48" s="11"/>
      <c r="F48" s="54">
        <f>(C48+D48+E48)/3</f>
      </c>
      <c r="G48" s="11"/>
      <c r="H48" s="11"/>
      <c r="I48" s="11"/>
      <c r="J48" s="70">
        <f t="shared" ref="J48:J49" si="47">(G48+H48+I48)/3</f>
      </c>
      <c r="K48" s="163">
        <f>(F48+J48)/2</f>
      </c>
      <c r="L48" s="11"/>
      <c r="M48" s="11"/>
      <c r="N48" s="11"/>
      <c r="O48" s="70">
        <f>(L48+M48+N48)/3</f>
      </c>
      <c r="P48" s="11"/>
      <c r="Q48" s="11"/>
      <c r="R48" s="11"/>
      <c r="S48" s="70">
        <f>(P48+Q48+R48)/3</f>
      </c>
      <c r="T48" s="76">
        <f t="shared" ref="T48:T76" si="48">(O48+S48)/2</f>
      </c>
      <c r="U48" s="79">
        <f t="shared" ref="U48:U76" si="49">(J48+T48)/2</f>
      </c>
    </row>
    <row r="49" spans="1:21" ht="15.75" thickBot="1" x14ac:dyDescent="0.3">
      <c r="A49" s="5" t="s">
        <v>81</v>
      </c>
      <c r="B49" s="118"/>
      <c r="C49" s="3"/>
      <c r="D49" s="3"/>
      <c r="E49" s="3"/>
      <c r="F49" s="54">
        <f t="shared" ref="F49" si="50">(C49+D49+E49)/3</f>
      </c>
      <c r="G49" s="3"/>
      <c r="H49" s="3"/>
      <c r="I49" s="3"/>
      <c r="J49" s="70">
        <f t="shared" si="47"/>
        <v>1.8333333333333333</v>
      </c>
      <c r="K49" s="163">
        <f t="shared" ref="K49" si="51">(F49+J49)/2</f>
      </c>
      <c r="L49" s="3"/>
      <c r="M49" s="3"/>
      <c r="N49" s="3"/>
      <c r="O49" s="70">
        <f>(L49+M49+N49)/3</f>
      </c>
      <c r="P49" s="3"/>
      <c r="Q49" s="3"/>
      <c r="R49" s="3"/>
      <c r="S49" s="70">
        <f t="shared" ref="S49" si="52">(P49+Q49+R49)/3</f>
      </c>
      <c r="T49" s="76">
        <f t="shared" si="48"/>
        <v>0.5</v>
      </c>
      <c r="U49" s="79">
        <f t="shared" si="49"/>
        <v>1.1666666666666665</v>
      </c>
    </row>
    <row r="50" spans="1:21" ht="15.75" thickBot="1" x14ac:dyDescent="0.3">
      <c r="A50" s="92"/>
      <c r="B50" s="123"/>
      <c r="C50" s="93"/>
      <c r="D50" s="93"/>
      <c r="E50" s="93"/>
      <c r="F50" s="94"/>
      <c r="G50" s="93"/>
      <c r="H50" s="93"/>
      <c r="I50" s="93"/>
      <c r="J50" s="93"/>
      <c r="K50" s="95"/>
      <c r="L50" s="93"/>
      <c r="M50" s="93"/>
      <c r="N50" s="93"/>
      <c r="O50" s="95"/>
      <c r="P50" s="93"/>
      <c r="Q50" s="93"/>
      <c r="R50" s="93"/>
      <c r="S50" s="95"/>
      <c r="T50" s="95"/>
      <c r="U50" s="96"/>
    </row>
    <row r="51" spans="1:21" x14ac:dyDescent="0.25">
      <c r="A51" s="10" t="s">
        <v>82</v>
      </c>
      <c r="B51" s="128"/>
      <c r="C51" s="90">
        <f>C48/C12</f>
      </c>
      <c r="D51" s="90" t="e">
        <f>D48/D12</f>
      </c>
      <c r="E51" s="90">
        <f>E48/E12</f>
      </c>
      <c r="F51" s="54" t="e">
        <f>(C51+D51+E51)/3</f>
      </c>
      <c r="G51" s="90">
        <f>G48/G12</f>
      </c>
      <c r="H51" s="90">
        <f>H48/H12</f>
      </c>
      <c r="I51" s="90">
        <f>I48/I12</f>
      </c>
      <c r="J51" s="99">
        <f>J48/J12</f>
      </c>
      <c r="K51" s="163" t="e">
        <f>(F51+J51)/2</f>
      </c>
      <c r="L51" s="90">
        <f t="shared" ref="L51:S51" si="53">L48/L12</f>
      </c>
      <c r="M51" s="90">
        <f t="shared" si="53"/>
        <v>0</v>
      </c>
      <c r="N51" s="90" t="e">
        <f t="shared" si="53"/>
        <v>#DIV/0!</v>
      </c>
      <c r="O51" s="73">
        <f t="shared" si="53"/>
        <v>0</v>
      </c>
      <c r="P51" s="90" t="e">
        <f t="shared" si="53"/>
        <v>#DIV/0!</v>
      </c>
      <c r="Q51" s="90" t="e">
        <f t="shared" si="53"/>
        <v>#DIV/0!</v>
      </c>
      <c r="R51" s="90" t="e">
        <f t="shared" si="53"/>
        <v>#DIV/0!</v>
      </c>
      <c r="S51" s="73" t="e">
        <f t="shared" si="53"/>
        <v>#DIV/0!</v>
      </c>
      <c r="T51" s="77" t="e">
        <f t="shared" si="48"/>
        <v>#DIV/0!</v>
      </c>
      <c r="U51" s="136" t="e">
        <f t="shared" si="49"/>
        <v>#DIV/0!</v>
      </c>
    </row>
    <row r="52" spans="1:21" ht="15.75" thickBot="1" x14ac:dyDescent="0.3">
      <c r="A52" s="5" t="s">
        <v>83</v>
      </c>
      <c r="B52" s="129"/>
      <c r="C52" s="41">
        <f>C49/C12</f>
      </c>
      <c r="D52" s="41" t="e">
        <f>D49/D12</f>
      </c>
      <c r="E52" s="41">
        <f>E49/E12</f>
      </c>
      <c r="F52" s="54" t="e">
        <f t="shared" ref="F52" si="54">(C52+D52+E52)/3</f>
      </c>
      <c r="G52" s="41">
        <f>G49/G12</f>
      </c>
      <c r="H52" s="41">
        <f>H49/H12</f>
      </c>
      <c r="I52" s="41">
        <f>I49/I12</f>
      </c>
      <c r="J52" s="42">
        <f>J49/J12</f>
      </c>
      <c r="K52" s="163" t="e">
        <f t="shared" ref="K52" si="55">(F52+J52)/2</f>
      </c>
      <c r="L52" s="41">
        <f t="shared" ref="L52:S52" si="56">L49/L12</f>
      </c>
      <c r="M52" s="41">
        <f t="shared" si="56"/>
        <v>1</v>
      </c>
      <c r="N52" s="41" t="e">
        <f t="shared" si="56"/>
        <v>#DIV/0!</v>
      </c>
      <c r="O52" s="105">
        <f t="shared" si="56"/>
        <v>1</v>
      </c>
      <c r="P52" s="41" t="e">
        <f t="shared" si="56"/>
        <v>#DIV/0!</v>
      </c>
      <c r="Q52" s="41" t="e">
        <f t="shared" si="56"/>
        <v>#DIV/0!</v>
      </c>
      <c r="R52" s="41" t="e">
        <f t="shared" si="56"/>
        <v>#DIV/0!</v>
      </c>
      <c r="S52" s="105" t="e">
        <f t="shared" si="56"/>
        <v>#DIV/0!</v>
      </c>
      <c r="T52" s="77" t="e">
        <f t="shared" si="48"/>
        <v>#DIV/0!</v>
      </c>
      <c r="U52" s="136" t="e">
        <f t="shared" si="49"/>
        <v>#DIV/0!</v>
      </c>
    </row>
    <row r="53" spans="1:21" ht="15.75" thickBot="1" x14ac:dyDescent="0.3">
      <c r="A53" s="92"/>
      <c r="B53" s="123"/>
      <c r="C53" s="93"/>
      <c r="D53" s="93"/>
      <c r="E53" s="93"/>
      <c r="F53" s="94"/>
      <c r="G53" s="93"/>
      <c r="H53" s="93"/>
      <c r="I53" s="93"/>
      <c r="J53" s="93"/>
      <c r="K53" s="95"/>
      <c r="L53" s="93"/>
      <c r="M53" s="93"/>
      <c r="N53" s="93"/>
      <c r="O53" s="95"/>
      <c r="P53" s="93"/>
      <c r="Q53" s="93"/>
      <c r="R53" s="93"/>
      <c r="S53" s="95"/>
      <c r="T53" s="95"/>
      <c r="U53" s="96"/>
    </row>
    <row r="54" spans="1:21" x14ac:dyDescent="0.25">
      <c r="A54" s="10" t="s">
        <v>84</v>
      </c>
      <c r="B54" s="126"/>
      <c r="C54" s="11"/>
      <c r="D54" s="11"/>
      <c r="E54" s="11"/>
      <c r="F54" s="54">
        <f>(C54+D54+E54)/3</f>
      </c>
      <c r="G54" s="11"/>
      <c r="H54" s="11"/>
      <c r="I54" s="11"/>
      <c r="J54" s="70">
        <f t="shared" ref="J54:J56" si="57">(G54+H54+I54)/3</f>
      </c>
      <c r="K54" s="163">
        <f>(F54+J54)/2</f>
      </c>
      <c r="L54" s="11"/>
      <c r="M54" s="11"/>
      <c r="N54" s="11"/>
      <c r="O54" s="70">
        <f t="shared" ref="O54:O56" si="58">(L54+M54+N54)/3</f>
      </c>
      <c r="P54" s="11"/>
      <c r="Q54" s="11"/>
      <c r="R54" s="11"/>
      <c r="S54" s="70">
        <f>(P54+Q54+R54)/3</f>
      </c>
      <c r="T54" s="76">
        <f t="shared" si="48"/>
        <v>2</v>
      </c>
      <c r="U54" s="79">
        <f t="shared" si="49"/>
        <v>4.8333333333333339</v>
      </c>
    </row>
    <row r="55" spans="1:21" x14ac:dyDescent="0.25">
      <c r="A55" s="5" t="s">
        <v>85</v>
      </c>
      <c r="B55" s="118"/>
      <c r="C55" s="3"/>
      <c r="D55" s="3"/>
      <c r="E55" s="3"/>
      <c r="F55" s="54">
        <f t="shared" ref="F55:F56" si="59">(C55+D55+E55)/3</f>
      </c>
      <c r="G55" s="3"/>
      <c r="H55" s="3"/>
      <c r="I55" s="3"/>
      <c r="J55" s="70">
        <f t="shared" si="57"/>
        <v>19.333333333333332</v>
      </c>
      <c r="K55" s="163">
        <f t="shared" ref="K55:K56" si="60">(F55+J55)/2</f>
      </c>
      <c r="L55" s="3"/>
      <c r="M55" s="3"/>
      <c r="N55" s="3"/>
      <c r="O55" s="70">
        <f t="shared" si="58"/>
        <v>9.6666666666666661</v>
      </c>
      <c r="P55" s="3"/>
      <c r="Q55" s="3"/>
      <c r="R55" s="3"/>
      <c r="S55" s="70">
        <f t="shared" ref="S55" si="61">(P55+Q55+R55)/3</f>
      </c>
      <c r="T55" s="76">
        <f t="shared" si="48"/>
        <v>4.833333333333333</v>
      </c>
      <c r="U55" s="79">
        <f t="shared" si="49"/>
        <v>12.083333333333332</v>
      </c>
    </row>
    <row r="56" spans="1:21" ht="15.75" thickBot="1" x14ac:dyDescent="0.3">
      <c r="A56" s="81" t="s">
        <v>86</v>
      </c>
      <c r="B56" s="127"/>
      <c r="C56" s="56">
        <f>C54+C55</f>
      </c>
      <c r="D56" s="56">
        <f t="shared" ref="D56:E56" si="62">D54+D55</f>
      </c>
      <c r="E56" s="56">
        <f t="shared" si="62"/>
        <v>35</v>
      </c>
      <c r="F56" s="54">
        <f t="shared" si="59"/>
        <v>39.333333333333336</v>
      </c>
      <c r="G56" s="56">
        <f>G54+G55</f>
      </c>
      <c r="H56" s="56">
        <f>H54+H55</f>
      </c>
      <c r="I56" s="56">
        <f>I54+I55</f>
      </c>
      <c r="J56" s="83">
        <f t="shared" si="57"/>
        <v>27</v>
      </c>
      <c r="K56" s="163">
        <f t="shared" si="60"/>
        <v>33.166666666666671</v>
      </c>
      <c r="L56" s="56">
        <f>L54+L55</f>
      </c>
      <c r="M56" s="56">
        <f>M54+M55</f>
      </c>
      <c r="N56" s="56" t="e">
        <f>N54+N55+#REF!</f>
      </c>
      <c r="O56" s="83" t="e">
        <f t="shared" si="58"/>
        <v>#REF!</v>
      </c>
      <c r="P56" s="56" t="e">
        <f>P54+P55+#REF!</f>
      </c>
      <c r="Q56" s="56" t="e">
        <f>Q54+Q55+#REF!</f>
      </c>
      <c r="R56" s="56" t="e">
        <f>R54+R55+#REF!</f>
      </c>
      <c r="S56" s="86" t="e">
        <f>S54+S55+#REF!</f>
      </c>
      <c r="T56" s="84" t="e">
        <f t="shared" si="48"/>
        <v>#REF!</v>
      </c>
      <c r="U56" s="85" t="e">
        <f t="shared" si="49"/>
        <v>#REF!</v>
      </c>
    </row>
    <row r="57" spans="1:21" ht="15.75" thickBot="1" x14ac:dyDescent="0.3">
      <c r="A57" s="58"/>
      <c r="B57" s="59"/>
      <c r="C57" s="59"/>
      <c r="D57" s="59"/>
      <c r="E57" s="59"/>
      <c r="F57" s="94"/>
      <c r="G57" s="59"/>
      <c r="H57" s="59"/>
      <c r="I57" s="59"/>
      <c r="J57" s="59"/>
      <c r="K57" s="97"/>
      <c r="L57" s="59"/>
      <c r="M57" s="59"/>
      <c r="N57" s="59"/>
      <c r="O57" s="97"/>
      <c r="P57" s="59"/>
      <c r="Q57" s="59"/>
      <c r="R57" s="59"/>
      <c r="S57" s="97"/>
      <c r="T57" s="95"/>
      <c r="U57" s="96"/>
    </row>
    <row r="58" spans="1:21" s="1" customFormat="1" ht="23.25" x14ac:dyDescent="0.35">
      <c r="A58" s="55" t="s">
        <v>87</v>
      </c>
      <c r="B58" s="124"/>
      <c r="C58" s="12"/>
      <c r="D58" s="12"/>
      <c r="E58" s="12"/>
      <c r="F58" s="57"/>
      <c r="G58" s="12"/>
      <c r="H58" s="12"/>
      <c r="I58" s="12"/>
      <c r="J58" s="12"/>
      <c r="K58" s="163"/>
      <c r="L58" s="12"/>
      <c r="M58" s="12"/>
      <c r="N58" s="12"/>
      <c r="O58" s="70"/>
      <c r="P58" s="12"/>
      <c r="Q58" s="12"/>
      <c r="R58" s="12"/>
      <c r="S58" s="70"/>
      <c r="T58" s="76"/>
      <c r="U58" s="134"/>
    </row>
    <row r="59" spans="1:21" x14ac:dyDescent="0.25">
      <c r="A59" s="5" t="s">
        <v>88</v>
      </c>
      <c r="B59" s="118"/>
      <c r="C59" s="3"/>
      <c r="D59" s="3"/>
      <c r="E59" s="3"/>
      <c r="F59" s="54">
        <f>(C59+D59+E59)/3</f>
      </c>
      <c r="G59" s="3"/>
      <c r="H59" s="3"/>
      <c r="I59" s="3"/>
      <c r="J59" s="70">
        <f t="shared" ref="J59" si="63">(G59+H59+I59)/3</f>
      </c>
      <c r="K59" s="163">
        <f>(F59+J59)/2</f>
      </c>
      <c r="L59" s="3"/>
      <c r="M59" s="3"/>
      <c r="N59" s="3"/>
      <c r="O59" s="70">
        <f t="shared" ref="O59" si="64">(L59+M59+N59)/3</f>
      </c>
      <c r="P59" s="3"/>
      <c r="Q59" s="3"/>
      <c r="R59" s="3"/>
      <c r="S59" s="70">
        <f>(P59+Q59+R59)/3</f>
      </c>
      <c r="T59" s="76">
        <f t="shared" si="48"/>
        <v>9.1666666666666661</v>
      </c>
      <c r="U59" s="134">
        <f t="shared" si="49"/>
        <v>23.083333333333332</v>
      </c>
    </row>
    <row r="60" spans="1:21" ht="15.75" thickBot="1" x14ac:dyDescent="0.3">
      <c r="A60" s="5" t="s">
        <v>89</v>
      </c>
      <c r="B60" s="118"/>
      <c r="C60" s="52">
        <f>C59/C9</f>
      </c>
      <c r="D60" s="52">
        <f>D59/D9</f>
      </c>
      <c r="E60" s="52">
        <f>E59/E9</f>
      </c>
      <c r="F60" s="54">
        <f t="shared" ref="F60" si="65">(C60+D60+E60)/3</f>
      </c>
      <c r="G60" s="52">
        <f>G59/G9</f>
      </c>
      <c r="H60" s="52">
        <f>H59/H9</f>
      </c>
      <c r="I60" s="52">
        <f>I59/I9</f>
      </c>
      <c r="J60" s="71">
        <f>J59/J2</f>
      </c>
      <c r="K60" s="163">
        <f t="shared" ref="K60" si="66">(F60+J60)/2</f>
      </c>
      <c r="L60" s="52">
        <f>L59/L9</f>
      </c>
      <c r="M60" s="3">
        <f>M59/M9</f>
      </c>
      <c r="N60" s="3">
        <f>N59/N9</f>
      </c>
      <c r="O60" s="71">
        <f>O59/O2</f>
      </c>
      <c r="P60" s="3">
        <f>P59/P9</f>
      </c>
      <c r="Q60" s="3">
        <f>Q59/Q9</f>
      </c>
      <c r="R60" s="52">
        <f>R59/R9</f>
      </c>
      <c r="S60" s="70">
        <f t="shared" ref="S60" si="67">(P60+Q60+R60)/3</f>
      </c>
      <c r="T60" s="76">
        <f t="shared" si="48"/>
        <v>2.9543589148585987E-5</v>
      </c>
      <c r="U60" s="134">
        <f t="shared" si="49"/>
        <v>5.9922818648330914E-5</v>
      </c>
    </row>
    <row r="61" spans="1:21" ht="15.75" thickBot="1" x14ac:dyDescent="0.3">
      <c r="A61" s="92"/>
      <c r="B61" s="123"/>
      <c r="C61" s="93"/>
      <c r="D61" s="93"/>
      <c r="E61" s="93"/>
      <c r="F61" s="94"/>
      <c r="G61" s="93"/>
      <c r="H61" s="93"/>
      <c r="I61" s="93"/>
      <c r="J61" s="93"/>
      <c r="K61" s="95"/>
      <c r="L61" s="93"/>
      <c r="M61" s="93"/>
      <c r="N61" s="93"/>
      <c r="O61" s="95"/>
      <c r="P61" s="93"/>
      <c r="Q61" s="93"/>
      <c r="R61" s="93"/>
      <c r="S61" s="95"/>
      <c r="T61" s="95"/>
      <c r="U61" s="96"/>
    </row>
    <row r="62" spans="1:21" ht="26.25" x14ac:dyDescent="0.4">
      <c r="A62" s="100" t="s">
        <v>91</v>
      </c>
      <c r="B62" s="125"/>
      <c r="C62" s="12"/>
      <c r="D62" s="12"/>
      <c r="E62" s="12"/>
      <c r="F62" s="57"/>
      <c r="G62" s="12"/>
      <c r="H62" s="12"/>
      <c r="I62" s="12"/>
      <c r="J62" s="12"/>
      <c r="K62" s="163"/>
      <c r="L62" s="12"/>
      <c r="M62" s="12"/>
      <c r="N62" s="12"/>
      <c r="O62" s="70"/>
      <c r="P62" s="12"/>
      <c r="Q62" s="12"/>
      <c r="R62" s="12"/>
      <c r="S62" s="70"/>
      <c r="T62" s="76"/>
      <c r="U62" s="79"/>
    </row>
    <row r="63" spans="1:21" x14ac:dyDescent="0.25">
      <c r="A63" s="5" t="s">
        <v>92</v>
      </c>
      <c r="B63" s="118"/>
      <c r="C63" s="3"/>
      <c r="D63" s="3"/>
      <c r="E63" s="3"/>
      <c r="F63" s="54">
        <f>(C63+D63+E63)/3</f>
      </c>
      <c r="G63" s="3"/>
      <c r="H63" s="3"/>
      <c r="I63" s="3"/>
      <c r="J63" s="70">
        <f t="shared" ref="J63:J65" si="68">(G63+H63+I63)/3</f>
      </c>
      <c r="K63" s="163">
        <f>(F63+J63)/2</f>
      </c>
      <c r="L63" s="3"/>
      <c r="M63" s="3"/>
      <c r="N63" s="3"/>
      <c r="O63" s="70">
        <f t="shared" ref="O63:O65" si="69">(L63+M63+N63)/3</f>
      </c>
      <c r="P63" s="3"/>
      <c r="Q63" s="3"/>
      <c r="R63" s="3"/>
      <c r="S63" s="70">
        <f>(P63+Q63+R63)/3</f>
      </c>
      <c r="T63" s="76">
        <f t="shared" si="48"/>
        <v>98.833333333333329</v>
      </c>
      <c r="U63" s="134">
        <f t="shared" si="49"/>
        <v>196.41666666666666</v>
      </c>
    </row>
    <row r="64" spans="1:21" x14ac:dyDescent="0.25">
      <c r="A64" s="5" t="s">
        <v>93</v>
      </c>
      <c r="B64" s="118"/>
      <c r="C64" s="3"/>
      <c r="D64" s="3"/>
      <c r="E64" s="3"/>
      <c r="F64" s="54">
        <f t="shared" ref="F64:F66" si="70">(C64+D64+E64)/3</f>
      </c>
      <c r="G64" s="3"/>
      <c r="H64" s="3"/>
      <c r="I64" s="3"/>
      <c r="J64" s="70">
        <f t="shared" si="68"/>
        <v>16</v>
      </c>
      <c r="K64" s="163">
        <f t="shared" ref="K64:K66" si="71">(F64+J64)/2</f>
      </c>
      <c r="L64" s="3"/>
      <c r="M64" s="3"/>
      <c r="N64" s="3"/>
      <c r="O64" s="70">
        <f t="shared" si="69"/>
        <v>8</v>
      </c>
      <c r="P64" s="3"/>
      <c r="Q64" s="3"/>
      <c r="R64" s="3"/>
      <c r="S64" s="70">
        <f t="shared" ref="S64:S65" si="72">(P64+Q64+R64)/3</f>
      </c>
      <c r="T64" s="76">
        <f t="shared" si="48"/>
        <v>4</v>
      </c>
      <c r="U64" s="134">
        <f t="shared" si="49"/>
        <v>10</v>
      </c>
    </row>
    <row r="65" spans="1:21" x14ac:dyDescent="0.25">
      <c r="A65" s="5" t="s">
        <v>94</v>
      </c>
      <c r="B65" s="118"/>
      <c r="C65" s="3"/>
      <c r="D65" s="3"/>
      <c r="E65" s="3"/>
      <c r="F65" s="54">
        <f t="shared" si="70"/>
        <v>12</v>
      </c>
      <c r="G65" s="3"/>
      <c r="H65" s="3"/>
      <c r="I65" s="3"/>
      <c r="J65" s="70">
        <f t="shared" si="68"/>
        <v>1.3333333333333333</v>
      </c>
      <c r="K65" s="163">
        <f t="shared" si="71"/>
        <v>6.666666666666667</v>
      </c>
      <c r="L65" s="3"/>
      <c r="M65" s="3"/>
      <c r="N65" s="3"/>
      <c r="O65" s="70">
        <f t="shared" si="69"/>
        <v>1</v>
      </c>
      <c r="P65" s="3"/>
      <c r="Q65" s="3"/>
      <c r="R65" s="3"/>
      <c r="S65" s="70">
        <f t="shared" si="72"/>
        <v>0</v>
      </c>
      <c r="T65" s="76">
        <f t="shared" si="48"/>
        <v>0.5</v>
      </c>
      <c r="U65" s="134">
        <f t="shared" si="49"/>
        <v>0.91666666666666663</v>
      </c>
    </row>
    <row r="66" spans="1:21" ht="15.75" thickBot="1" x14ac:dyDescent="0.3">
      <c r="A66" s="81" t="s">
        <v>95</v>
      </c>
      <c r="B66" s="132"/>
      <c r="C66" s="87">
        <f t="shared" ref="C66" si="73">(C64+C65)/C63</f>
      </c>
      <c r="D66" s="87">
        <f>(D64+D65)/D63</f>
      </c>
      <c r="E66" s="87">
        <f t="shared" ref="E66:S66" si="74">(E64+E65)/E63</f>
      </c>
      <c r="F66" s="54">
        <f t="shared" si="70"/>
        <v>7.7902070235703322E-2</v>
      </c>
      <c r="G66" s="87">
        <f t="shared" si="74"/>
        <v>6.9930069930069935E-2</v>
      </c>
      <c r="H66" s="87">
        <f t="shared" si="74"/>
        <v>4.8327137546468404E-2</v>
      </c>
      <c r="I66" s="87">
        <f t="shared" si="74"/>
        <v>5.8103975535168197E-2</v>
      </c>
      <c r="J66" s="98">
        <f t="shared" si="74"/>
        <v>5.8956916099773236E-2</v>
      </c>
      <c r="K66" s="163">
        <f t="shared" si="71"/>
        <v>6.8429493167738276E-2</v>
      </c>
      <c r="L66" s="87">
        <f t="shared" si="74"/>
        <v>6.3333333333333339E-2</v>
      </c>
      <c r="M66" s="87">
        <f t="shared" si="74"/>
        <v>2.7303754266211604E-2</v>
      </c>
      <c r="N66" s="87" t="e">
        <f t="shared" si="74"/>
        <v>#DIV/0!</v>
      </c>
      <c r="O66" s="106">
        <f t="shared" si="74"/>
        <v>4.5531197301854974E-2</v>
      </c>
      <c r="P66" s="87" t="e">
        <f t="shared" si="74"/>
        <v>#DIV/0!</v>
      </c>
      <c r="Q66" s="87" t="e">
        <f t="shared" si="74"/>
        <v>#DIV/0!</v>
      </c>
      <c r="R66" s="87" t="e">
        <f t="shared" si="74"/>
        <v>#DIV/0!</v>
      </c>
      <c r="S66" s="106" t="e">
        <f t="shared" si="74"/>
        <v>#DIV/0!</v>
      </c>
      <c r="T66" s="89" t="e">
        <f t="shared" si="48"/>
        <v>#DIV/0!</v>
      </c>
      <c r="U66" s="137" t="e">
        <f t="shared" si="49"/>
        <v>#DIV/0!</v>
      </c>
    </row>
    <row r="67" spans="1:21" ht="15.75" thickBot="1" x14ac:dyDescent="0.3">
      <c r="A67" s="101"/>
      <c r="B67" s="58"/>
      <c r="C67" s="93"/>
      <c r="D67" s="93"/>
      <c r="E67" s="93"/>
      <c r="F67" s="94"/>
      <c r="G67" s="93"/>
      <c r="H67" s="93"/>
      <c r="I67" s="93"/>
      <c r="J67" s="93"/>
      <c r="K67" s="95"/>
      <c r="L67" s="93"/>
      <c r="M67" s="93"/>
      <c r="N67" s="93"/>
      <c r="O67" s="95"/>
      <c r="P67" s="93"/>
      <c r="Q67" s="93"/>
      <c r="R67" s="93"/>
      <c r="S67" s="95"/>
      <c r="T67" s="95"/>
      <c r="U67" s="96"/>
    </row>
    <row r="68" spans="1:21" x14ac:dyDescent="0.25">
      <c r="A68" s="10" t="s">
        <v>96</v>
      </c>
      <c r="B68" s="126"/>
      <c r="C68" s="11"/>
      <c r="D68" s="11"/>
      <c r="E68" s="11"/>
      <c r="F68" s="54">
        <f>(C68+D68+E68)/3</f>
      </c>
      <c r="G68" s="11"/>
      <c r="H68" s="11"/>
      <c r="I68" s="11"/>
      <c r="J68" s="70">
        <f t="shared" ref="J68:J71" si="75">(G68+H68+I68)/3</f>
      </c>
      <c r="K68" s="163">
        <f>(F68+J68)/2</f>
      </c>
      <c r="L68" s="11"/>
      <c r="M68" s="11"/>
      <c r="N68" s="11"/>
      <c r="O68" s="70">
        <f t="shared" ref="O68:O71" si="76">(L68+M68+N68)/3</f>
      </c>
      <c r="P68" s="11"/>
      <c r="Q68" s="11"/>
      <c r="R68" s="11"/>
      <c r="S68" s="70">
        <f>(P68+Q68+R68)/3</f>
      </c>
      <c r="T68" s="76">
        <f t="shared" si="48"/>
        <v>46</v>
      </c>
      <c r="U68" s="134">
        <f t="shared" si="49"/>
        <v>204.66666666666666</v>
      </c>
    </row>
    <row r="69" spans="1:21" x14ac:dyDescent="0.25">
      <c r="A69" s="5" t="s">
        <v>97</v>
      </c>
      <c r="B69" s="118"/>
      <c r="C69" s="3"/>
      <c r="D69" s="3"/>
      <c r="E69" s="3"/>
      <c r="F69" s="54">
        <f t="shared" ref="F69:F71" si="77">(C69+D69+E69)/3</f>
      </c>
      <c r="G69" s="3"/>
      <c r="H69" s="3"/>
      <c r="I69" s="3"/>
      <c r="J69" s="70">
        <f t="shared" si="75"/>
        <v>66.666666666666671</v>
      </c>
      <c r="K69" s="163">
        <f t="shared" ref="K69:K71" si="78">(F69+J69)/2</f>
      </c>
      <c r="L69" s="3"/>
      <c r="M69" s="3"/>
      <c r="N69" s="3"/>
      <c r="O69" s="70">
        <f t="shared" si="76"/>
        <v>16</v>
      </c>
      <c r="P69" s="3"/>
      <c r="Q69" s="3"/>
      <c r="R69" s="3"/>
      <c r="S69" s="70">
        <f t="shared" ref="S69:S71" si="79">(P69+Q69+R69)/3</f>
      </c>
      <c r="T69" s="76">
        <f t="shared" si="48"/>
        <v>8</v>
      </c>
      <c r="U69" s="134">
        <f t="shared" si="49"/>
        <v>37.333333333333336</v>
      </c>
    </row>
    <row r="70" spans="1:21" x14ac:dyDescent="0.25">
      <c r="A70" s="5" t="s">
        <v>98</v>
      </c>
      <c r="B70" s="133"/>
      <c r="C70" s="51">
        <f t="shared" ref="C70" si="80">C69/C68</f>
      </c>
      <c r="D70" s="51">
        <f t="shared" ref="D70:H70" si="81">D69/D68</f>
      </c>
      <c r="E70" s="51">
        <f t="shared" si="81"/>
        <v>0.12182061579651941</v>
      </c>
      <c r="F70" s="54">
        <f t="shared" si="77"/>
        <v>0.12412842588157945</v>
      </c>
      <c r="G70" s="51">
        <f t="shared" si="81"/>
        <v>0.1686143572621035</v>
      </c>
      <c r="H70" s="51">
        <f t="shared" si="81"/>
        <v>0.24365482233502539</v>
      </c>
      <c r="I70" s="51">
        <f>I69/I68</f>
      </c>
      <c r="J70" s="70">
        <f t="shared" si="75"/>
        <v>0.19524618911741032</v>
      </c>
      <c r="K70" s="163">
        <f t="shared" si="78"/>
        <v>0.15968730749949489</v>
      </c>
      <c r="L70" s="51">
        <f>L69/L68</f>
      </c>
      <c r="M70" s="51">
        <f>M69/M68</f>
      </c>
      <c r="N70" s="51" t="e">
        <f>N69/N68</f>
      </c>
      <c r="O70" s="70" t="e">
        <f t="shared" si="76"/>
        <v>#DIV/0!</v>
      </c>
      <c r="P70" s="51" t="e">
        <f>P69/P68</f>
      </c>
      <c r="Q70" s="51" t="e">
        <f>Q69/Q68</f>
      </c>
      <c r="R70" s="51" t="e">
        <f>R69/R68</f>
      </c>
      <c r="S70" s="70" t="e">
        <f t="shared" si="79"/>
        <v>#DIV/0!</v>
      </c>
      <c r="T70" s="76" t="e">
        <f t="shared" si="48"/>
        <v>#DIV/0!</v>
      </c>
      <c r="U70" s="134" t="e">
        <f t="shared" si="49"/>
        <v>#DIV/0!</v>
      </c>
    </row>
    <row r="71" spans="1:21" ht="15.75" thickBot="1" x14ac:dyDescent="0.3">
      <c r="A71" s="81" t="s">
        <v>99</v>
      </c>
      <c r="B71" s="131"/>
      <c r="C71" s="139"/>
      <c r="D71" s="139"/>
      <c r="E71" s="139"/>
      <c r="F71" s="140">
        <f t="shared" si="77"/>
        <v>509</v>
      </c>
      <c r="G71" s="139"/>
      <c r="H71" s="139"/>
      <c r="I71" s="139"/>
      <c r="J71" s="141">
        <f t="shared" si="75"/>
        <v>504.66666666666669</v>
      </c>
      <c r="K71" s="163">
        <f t="shared" si="78"/>
        <v>506.83333333333337</v>
      </c>
      <c r="L71" s="139"/>
      <c r="M71" s="139"/>
      <c r="N71" s="139"/>
      <c r="O71" s="141">
        <f t="shared" si="76"/>
        <v>284.33333333333331</v>
      </c>
      <c r="P71" s="143"/>
      <c r="Q71" s="139"/>
      <c r="R71" s="139"/>
      <c r="S71" s="141">
        <f t="shared" si="79"/>
        <v>0</v>
      </c>
      <c r="T71" s="142">
        <f t="shared" si="48"/>
        <v>142.16666666666666</v>
      </c>
      <c r="U71" s="144">
        <f t="shared" si="49"/>
        <v>323.41666666666669</v>
      </c>
    </row>
    <row r="72" spans="1:21" ht="15.75" thickBot="1" x14ac:dyDescent="0.3">
      <c r="A72" s="58"/>
      <c r="B72" s="59"/>
      <c r="C72" s="59"/>
      <c r="D72" s="59"/>
      <c r="E72" s="59"/>
      <c r="F72" s="94"/>
      <c r="G72" s="59"/>
      <c r="H72" s="59"/>
      <c r="I72" s="59"/>
      <c r="J72" s="59"/>
      <c r="K72" s="97"/>
      <c r="L72" s="59"/>
      <c r="M72" s="59"/>
      <c r="N72" s="59"/>
      <c r="O72" s="97"/>
      <c r="P72" s="59"/>
      <c r="Q72" s="59"/>
      <c r="R72" s="59"/>
      <c r="S72" s="97"/>
      <c r="T72" s="95"/>
      <c r="U72" s="96"/>
    </row>
    <row r="73" spans="1:21" s="1" customFormat="1" ht="23.25" x14ac:dyDescent="0.35">
      <c r="A73" s="55" t="s">
        <v>100</v>
      </c>
      <c r="B73" s="124"/>
      <c r="C73" s="12"/>
      <c r="D73" s="12"/>
      <c r="E73" s="12"/>
      <c r="F73" s="57"/>
      <c r="G73" s="12"/>
      <c r="H73" s="12"/>
      <c r="I73" s="12"/>
      <c r="J73" s="12"/>
      <c r="K73" s="70"/>
      <c r="L73" s="12"/>
      <c r="M73" s="12"/>
      <c r="N73" s="12"/>
      <c r="O73" s="70"/>
      <c r="P73" s="12"/>
      <c r="Q73" s="12"/>
      <c r="R73" s="12"/>
      <c r="S73" s="70"/>
      <c r="T73" s="76"/>
      <c r="U73" s="79">
        <f t="shared" si="49"/>
        <v>0</v>
      </c>
    </row>
    <row r="74" spans="1:21" x14ac:dyDescent="0.25">
      <c r="A74" s="5" t="s">
        <v>101</v>
      </c>
      <c r="B74" s="118"/>
      <c r="C74" s="3"/>
      <c r="D74" s="3"/>
      <c r="E74" s="3"/>
      <c r="F74" s="54">
        <f>(C74+D74+E74)/3</f>
      </c>
      <c r="G74" s="3"/>
      <c r="H74" s="3"/>
      <c r="I74" s="3"/>
      <c r="J74" s="70">
        <f t="shared" ref="J74:J76" si="82">(G74+H74+I74)/3</f>
      </c>
      <c r="K74" s="163">
        <f>(F74+J74)/2</f>
      </c>
      <c r="L74" s="3"/>
      <c r="M74" s="3"/>
      <c r="N74" s="3"/>
      <c r="O74" s="70">
        <f t="shared" ref="O74:O76" si="83">(L74+M74+N74)/3</f>
      </c>
      <c r="P74" s="3"/>
      <c r="Q74" s="3"/>
      <c r="R74" s="3"/>
      <c r="S74" s="70">
        <f>(P74+Q74+R74)/3</f>
      </c>
      <c r="T74" s="76">
        <f t="shared" si="48"/>
        <v>0.16666666666666666</v>
      </c>
      <c r="U74" s="79">
        <f t="shared" si="49"/>
        <v>0.41666666666666663</v>
      </c>
    </row>
    <row r="75" spans="1:21" x14ac:dyDescent="0.25">
      <c r="A75" s="5" t="s">
        <v>102</v>
      </c>
      <c r="B75" s="118"/>
      <c r="C75" s="3"/>
      <c r="D75" s="3"/>
      <c r="E75" s="3"/>
      <c r="F75" s="54">
        <f t="shared" ref="F75:F76" si="84">(C75+D75+E75)/3</f>
      </c>
      <c r="G75" s="3"/>
      <c r="H75" s="3"/>
      <c r="I75" s="3"/>
      <c r="J75" s="70">
        <f t="shared" si="82"/>
        <v>1.6666666666666667</v>
      </c>
      <c r="K75" s="163">
        <f t="shared" ref="K75:K76" si="85">(F75+J75)/2</f>
      </c>
      <c r="L75" s="3"/>
      <c r="M75" s="3"/>
      <c r="N75" s="3"/>
      <c r="O75" s="70">
        <f t="shared" si="83"/>
        <v>0.66666666666666663</v>
      </c>
      <c r="P75" s="3"/>
      <c r="Q75" s="3"/>
      <c r="R75" s="3"/>
      <c r="S75" s="70">
        <f t="shared" ref="S75:S76" si="86">(P75+Q75+R75)/3</f>
      </c>
      <c r="T75" s="76">
        <f t="shared" si="48"/>
      </c>
      <c r="U75" s="79">
        <f t="shared" si="49"/>
      </c>
    </row>
    <row r="76" spans="1:21" ht="15.75" thickBot="1" x14ac:dyDescent="0.3">
      <c r="A76" s="6" t="s">
        <v>103</v>
      </c>
      <c r="B76" s="119"/>
      <c r="C76" s="7"/>
      <c r="D76" s="7"/>
      <c r="E76" s="7"/>
      <c r="F76" s="54">
        <f t="shared" si="84"/>
      </c>
      <c r="G76" s="7"/>
      <c r="H76" s="7"/>
      <c r="I76" s="7"/>
      <c r="J76" s="120">
        <f t="shared" si="82"/>
      </c>
      <c r="K76" s="163">
        <f t="shared" si="85"/>
      </c>
      <c r="L76" s="7"/>
      <c r="M76" s="7"/>
      <c r="N76" s="7"/>
      <c r="O76" s="120">
        <f t="shared" si="83"/>
      </c>
      <c r="P76" s="7"/>
      <c r="Q76" s="7"/>
      <c r="R76" s="7"/>
      <c r="S76" s="120">
        <f t="shared" si="86"/>
      </c>
      <c r="T76" s="121">
        <f t="shared" si="48"/>
      </c>
      <c r="U76" s="122">
        <f t="shared" si="49"/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A239-37DD-4347-BA61-17372D0A88EF}">
  <dimension ref="A1:U11"/>
  <sheetViews>
    <sheetView zoomScale="85" zoomScaleNormal="85" workbookViewId="0">
      <pane xSplit="1" topLeftCell="B1" activePane="topRight" state="frozen"/>
      <selection pane="topRight" activeCell="L14" sqref="L14"/>
    </sheetView>
  </sheetViews>
  <sheetFormatPr defaultRowHeight="15" x14ac:dyDescent="0.25"/>
  <cols>
    <col min="1" max="1" width="32.85546875" bestFit="1" customWidth="1"/>
    <col min="2" max="2" width="17.42578125" customWidth="1"/>
    <col min="3" max="20" width="10.5703125" customWidth="1"/>
    <col min="21" max="21" width="14.140625" bestFit="1" customWidth="1"/>
  </cols>
  <sheetData>
    <row r="1" spans="1:21" ht="23.25" x14ac:dyDescent="0.35">
      <c r="A1" s="27" t="s">
        <v>112</v>
      </c>
      <c r="B1" s="27"/>
    </row>
    <row r="2" spans="1:21" ht="15.75" thickBot="1" x14ac:dyDescent="0.3"/>
    <row r="3" spans="1:21" ht="15.75" thickBot="1" x14ac:dyDescent="0.3">
      <c r="A3" s="18" t="s">
        <v>113</v>
      </c>
      <c r="B3" s="109" t="s">
        <v>114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26" t="s">
        <v>10</v>
      </c>
      <c r="L3" s="19" t="s">
        <v>11</v>
      </c>
      <c r="M3" s="19" t="s">
        <v>12</v>
      </c>
      <c r="N3" s="19" t="s">
        <v>13</v>
      </c>
      <c r="O3" s="19" t="s">
        <v>14</v>
      </c>
      <c r="P3" s="19" t="s">
        <v>15</v>
      </c>
      <c r="Q3" s="19" t="s">
        <v>16</v>
      </c>
      <c r="R3" s="19" t="s">
        <v>17</v>
      </c>
      <c r="S3" s="19" t="s">
        <v>18</v>
      </c>
      <c r="T3" s="26" t="s">
        <v>19</v>
      </c>
      <c r="U3" s="20" t="s">
        <v>20</v>
      </c>
    </row>
    <row r="4" spans="1:21" x14ac:dyDescent="0.25">
      <c r="A4" s="5"/>
      <c r="B4" s="117"/>
      <c r="C4" s="37"/>
      <c r="D4" s="37"/>
      <c r="E4" s="37"/>
      <c r="F4" s="38"/>
      <c r="G4" s="37"/>
      <c r="H4" s="37"/>
      <c r="I4" s="37"/>
      <c r="J4" s="38"/>
      <c r="K4" s="116"/>
      <c r="L4" s="37"/>
      <c r="M4" s="37"/>
      <c r="N4" s="37"/>
      <c r="O4" s="38"/>
      <c r="P4" s="37"/>
      <c r="Q4" s="37"/>
      <c r="R4" s="37"/>
      <c r="S4" s="38"/>
      <c r="T4" s="116"/>
      <c r="U4" s="40"/>
    </row>
    <row r="5" spans="1:21" x14ac:dyDescent="0.25">
      <c r="A5" s="5"/>
      <c r="B5" s="117"/>
      <c r="C5" s="37"/>
      <c r="D5" s="37"/>
      <c r="E5" s="37"/>
      <c r="F5" s="38"/>
      <c r="G5" s="37"/>
      <c r="H5" s="37"/>
      <c r="I5" s="37"/>
      <c r="J5" s="38"/>
      <c r="K5" s="116"/>
      <c r="L5" s="37"/>
      <c r="M5" s="37"/>
      <c r="N5" s="37"/>
      <c r="O5" s="38"/>
      <c r="P5" s="37"/>
      <c r="Q5" s="37"/>
      <c r="R5" s="37"/>
      <c r="S5" s="38"/>
      <c r="T5" s="116"/>
      <c r="U5" s="40"/>
    </row>
    <row r="6" spans="1:21" x14ac:dyDescent="0.25">
      <c r="A6" s="5"/>
      <c r="B6" s="117"/>
      <c r="C6" s="37"/>
      <c r="D6" s="37"/>
      <c r="E6" s="37"/>
      <c r="F6" s="38"/>
      <c r="G6" s="37"/>
      <c r="H6" s="37"/>
      <c r="I6" s="37"/>
      <c r="J6" s="38"/>
      <c r="K6" s="116"/>
      <c r="L6" s="37"/>
      <c r="M6" s="37"/>
      <c r="N6" s="37"/>
      <c r="O6" s="38"/>
      <c r="P6" s="37"/>
      <c r="Q6" s="37"/>
      <c r="R6" s="37"/>
      <c r="S6" s="38"/>
      <c r="T6" s="116"/>
      <c r="U6" s="40"/>
    </row>
    <row r="7" spans="1:21" x14ac:dyDescent="0.25">
      <c r="A7" s="5"/>
      <c r="B7" s="117"/>
      <c r="C7" s="37"/>
      <c r="D7" s="37"/>
      <c r="E7" s="37"/>
      <c r="F7" s="38"/>
      <c r="G7" s="37"/>
      <c r="H7" s="37"/>
      <c r="I7" s="37"/>
      <c r="J7" s="38"/>
      <c r="K7" s="116"/>
      <c r="L7" s="37"/>
      <c r="M7" s="37"/>
      <c r="N7" s="37"/>
      <c r="O7" s="38"/>
      <c r="P7" s="37"/>
      <c r="Q7" s="37"/>
      <c r="R7" s="37"/>
      <c r="S7" s="38"/>
      <c r="T7" s="116"/>
      <c r="U7" s="40"/>
    </row>
    <row r="8" spans="1:21" x14ac:dyDescent="0.25">
      <c r="A8" s="3"/>
      <c r="B8" s="111"/>
      <c r="C8" s="37"/>
      <c r="D8" s="37"/>
      <c r="E8" s="37"/>
      <c r="F8" s="38"/>
      <c r="G8" s="37"/>
      <c r="H8" s="37"/>
      <c r="I8" s="37"/>
      <c r="J8" s="38"/>
      <c r="K8" s="116"/>
      <c r="L8" s="37"/>
      <c r="M8" s="37"/>
      <c r="N8" s="37"/>
      <c r="O8" s="38"/>
      <c r="P8" s="37"/>
      <c r="Q8" s="37"/>
      <c r="R8" s="37"/>
      <c r="S8" s="38"/>
      <c r="T8" s="116"/>
      <c r="U8" s="236"/>
    </row>
    <row r="9" spans="1:21" x14ac:dyDescent="0.25">
      <c r="A9" s="3"/>
      <c r="B9" s="111"/>
      <c r="C9" s="37"/>
      <c r="D9" s="37"/>
      <c r="E9" s="37"/>
      <c r="F9" s="38"/>
      <c r="G9" s="37"/>
      <c r="H9" s="37"/>
      <c r="I9" s="37"/>
      <c r="J9" s="38"/>
      <c r="K9" s="116"/>
      <c r="L9" s="37"/>
      <c r="M9" s="37"/>
      <c r="N9" s="37"/>
      <c r="O9" s="38"/>
      <c r="P9" s="37"/>
      <c r="Q9" s="37"/>
      <c r="R9" s="37"/>
      <c r="S9" s="38"/>
      <c r="T9" s="116"/>
      <c r="U9" s="236"/>
    </row>
    <row r="10" spans="1:21" x14ac:dyDescent="0.25">
      <c r="A10" s="3"/>
      <c r="B10" s="111"/>
      <c r="C10" s="262"/>
      <c r="D10" s="262"/>
      <c r="E10" s="167"/>
      <c r="F10" s="38"/>
      <c r="G10" s="167"/>
      <c r="H10" s="167"/>
      <c r="I10" s="167"/>
      <c r="J10" s="38"/>
      <c r="K10" s="116"/>
      <c r="L10" s="3"/>
      <c r="M10" s="3"/>
      <c r="N10" s="3"/>
      <c r="O10" s="38"/>
      <c r="P10" s="3"/>
      <c r="Q10" s="3"/>
      <c r="R10" s="3"/>
      <c r="S10" s="38"/>
      <c r="T10" s="116"/>
      <c r="U10" s="236"/>
    </row>
    <row r="11" spans="1:21" x14ac:dyDescent="0.25">
      <c r="A11" s="3"/>
      <c r="B11" s="111"/>
      <c r="C11" s="262"/>
      <c r="D11" s="262"/>
      <c r="E11" s="167"/>
      <c r="F11" s="38"/>
      <c r="G11" s="167"/>
      <c r="H11" s="167"/>
      <c r="I11" s="167"/>
      <c r="J11" s="38"/>
      <c r="K11" s="116"/>
      <c r="L11" s="3"/>
      <c r="M11" s="3"/>
      <c r="N11" s="3"/>
      <c r="O11" s="38"/>
      <c r="P11" s="3"/>
      <c r="Q11" s="3"/>
      <c r="R11" s="3"/>
      <c r="S11" s="38"/>
      <c r="T11" s="116"/>
      <c r="U11" s="23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0358-6258-4F82-9738-FFA7A802C9F2}">
  <dimension ref="A1:U21"/>
  <sheetViews>
    <sheetView topLeftCell="A2" zoomScale="85" zoomScaleNormal="85" workbookViewId="0">
      <pane xSplit="1" topLeftCell="B1" activePane="topRight" state="frozen"/>
      <selection pane="topRight" activeCell="L7" sqref="L7:M7"/>
    </sheetView>
  </sheetViews>
  <sheetFormatPr defaultRowHeight="15" x14ac:dyDescent="0.25"/>
  <cols>
    <col min="1" max="1" width="28.85546875" bestFit="1" customWidth="1"/>
    <col min="2" max="2" width="21.140625" customWidth="1"/>
    <col min="3" max="5" width="10.5703125" customWidth="1"/>
    <col min="6" max="6" width="12.140625" bestFit="1" customWidth="1"/>
    <col min="7" max="9" width="10.5703125" customWidth="1"/>
    <col min="10" max="11" width="12.140625" bestFit="1" customWidth="1"/>
    <col min="12" max="18" width="10.5703125" customWidth="1"/>
    <col min="19" max="20" width="12.140625" bestFit="1" customWidth="1"/>
    <col min="21" max="21" width="14.140625" bestFit="1" customWidth="1"/>
  </cols>
  <sheetData>
    <row r="1" spans="1:21" ht="23.25" x14ac:dyDescent="0.35">
      <c r="A1" s="27" t="s">
        <v>115</v>
      </c>
      <c r="B1" s="27"/>
    </row>
    <row r="2" spans="1:21" ht="15.75" thickBot="1" x14ac:dyDescent="0.3"/>
    <row r="3" spans="1:21" ht="15.75" thickBot="1" x14ac:dyDescent="0.3">
      <c r="A3" s="18"/>
      <c r="B3" s="109"/>
      <c r="C3" s="19"/>
      <c r="D3" s="19"/>
      <c r="E3" s="19"/>
      <c r="F3" s="19"/>
      <c r="G3" s="19"/>
      <c r="H3" s="19"/>
      <c r="I3" s="19"/>
      <c r="J3" s="19"/>
      <c r="K3" s="26"/>
      <c r="L3" s="19"/>
      <c r="M3" s="19"/>
      <c r="N3" s="19"/>
      <c r="O3" s="19"/>
      <c r="P3" s="19"/>
      <c r="Q3" s="19"/>
      <c r="R3" s="19"/>
      <c r="S3" s="19"/>
      <c r="T3" s="26"/>
      <c r="U3" s="20"/>
    </row>
    <row r="4" spans="1:21" x14ac:dyDescent="0.25">
      <c r="A4" s="5"/>
      <c r="B4" s="117"/>
      <c r="C4" s="37"/>
      <c r="D4" s="37"/>
      <c r="E4" s="37"/>
      <c r="F4" s="38"/>
      <c r="G4" s="37"/>
      <c r="H4" s="37"/>
      <c r="I4" s="37"/>
      <c r="J4" s="38"/>
      <c r="K4" s="116"/>
      <c r="L4" s="37"/>
      <c r="M4" s="37"/>
      <c r="N4" s="37"/>
      <c r="O4" s="38"/>
      <c r="P4" s="37"/>
      <c r="Q4" s="37"/>
      <c r="R4" s="37"/>
      <c r="S4" s="38"/>
      <c r="T4" s="31"/>
      <c r="U4" s="32"/>
    </row>
    <row r="5" spans="1:21" x14ac:dyDescent="0.25">
      <c r="A5" s="5"/>
      <c r="B5" s="117"/>
      <c r="C5" s="37"/>
      <c r="D5" s="37"/>
      <c r="E5" s="37"/>
      <c r="F5" s="38"/>
      <c r="G5" s="37"/>
      <c r="H5" s="37"/>
      <c r="I5" s="37"/>
      <c r="J5" s="38"/>
      <c r="K5" s="116"/>
      <c r="L5" s="37"/>
      <c r="M5" s="37"/>
      <c r="N5" s="37"/>
      <c r="O5" s="38"/>
      <c r="P5" s="37"/>
      <c r="Q5" s="37"/>
      <c r="R5" s="37"/>
      <c r="S5" s="38"/>
      <c r="T5" s="31"/>
      <c r="U5" s="32"/>
    </row>
    <row r="6" spans="1:21" x14ac:dyDescent="0.25">
      <c r="A6" s="5"/>
      <c r="B6" s="117"/>
      <c r="C6" s="37"/>
      <c r="D6" s="37"/>
      <c r="E6" s="37"/>
      <c r="F6" s="38"/>
      <c r="G6" s="37"/>
      <c r="H6" s="37"/>
      <c r="I6" s="37"/>
      <c r="J6" s="38"/>
      <c r="K6" s="116"/>
      <c r="L6" s="37"/>
      <c r="M6" s="37"/>
      <c r="N6" s="37"/>
      <c r="O6" s="38"/>
      <c r="P6" s="37"/>
      <c r="Q6" s="37"/>
      <c r="R6" s="37"/>
      <c r="S6" s="38"/>
      <c r="T6" s="31"/>
      <c r="U6" s="32"/>
    </row>
    <row r="7" spans="1:21" x14ac:dyDescent="0.25">
      <c r="A7" s="5"/>
      <c r="B7" s="117"/>
      <c r="C7" s="37"/>
      <c r="D7" s="37"/>
      <c r="E7" s="37"/>
      <c r="F7" s="38"/>
      <c r="G7" s="37"/>
      <c r="H7" s="37"/>
      <c r="I7" s="37"/>
      <c r="J7" s="38"/>
      <c r="K7" s="116"/>
      <c r="L7" s="37"/>
      <c r="M7" s="37"/>
      <c r="N7" s="37"/>
      <c r="O7" s="38"/>
      <c r="P7" s="37"/>
      <c r="Q7" s="37"/>
      <c r="R7" s="37"/>
      <c r="S7" s="38"/>
      <c r="T7" s="31"/>
      <c r="U7" s="32"/>
    </row>
    <row r="8" spans="1:21" x14ac:dyDescent="0.25">
      <c r="A8" s="5"/>
      <c r="B8" s="117"/>
      <c r="C8" s="37"/>
      <c r="D8" s="37"/>
      <c r="E8" s="37"/>
      <c r="F8" s="38"/>
      <c r="G8" s="37"/>
      <c r="H8" s="37"/>
      <c r="I8" s="37"/>
      <c r="J8" s="38"/>
      <c r="K8" s="116"/>
      <c r="L8" s="37"/>
      <c r="M8" s="37"/>
      <c r="N8" s="37"/>
      <c r="O8" s="38"/>
      <c r="P8" s="37"/>
      <c r="Q8" s="37"/>
      <c r="R8" s="37"/>
      <c r="S8" s="38"/>
      <c r="T8" s="31"/>
      <c r="U8" s="32"/>
    </row>
    <row r="9" spans="1:21" x14ac:dyDescent="0.25">
      <c r="A9" s="5"/>
      <c r="B9" s="117"/>
      <c r="C9" s="37"/>
      <c r="D9" s="37"/>
      <c r="E9" s="37"/>
      <c r="F9" s="38"/>
      <c r="G9" s="37"/>
      <c r="H9" s="37"/>
      <c r="I9" s="37"/>
      <c r="J9" s="38"/>
      <c r="K9" s="116"/>
      <c r="L9" s="37"/>
      <c r="M9" s="37"/>
      <c r="N9" s="37"/>
      <c r="O9" s="38"/>
      <c r="P9" s="37"/>
      <c r="Q9" s="37"/>
      <c r="R9" s="37"/>
      <c r="S9" s="38"/>
      <c r="T9" s="31"/>
      <c r="U9" s="32"/>
    </row>
    <row r="10" spans="1:21" x14ac:dyDescent="0.25">
      <c r="A10" s="5"/>
      <c r="B10" s="264"/>
      <c r="C10" s="263"/>
      <c r="D10" s="263"/>
      <c r="E10" s="263"/>
      <c r="F10" s="30"/>
      <c r="G10" s="263"/>
      <c r="H10" s="263"/>
      <c r="I10" s="29"/>
      <c r="J10" s="30"/>
      <c r="K10" s="31"/>
      <c r="L10" s="29"/>
      <c r="M10" s="29"/>
      <c r="N10" s="29"/>
      <c r="O10" s="30"/>
      <c r="P10" s="29"/>
      <c r="Q10" s="29"/>
      <c r="R10" s="29"/>
      <c r="S10" s="30"/>
      <c r="T10" s="31"/>
      <c r="U10" s="32"/>
    </row>
    <row r="11" spans="1:21" x14ac:dyDescent="0.25">
      <c r="A11" s="5"/>
      <c r="B11" s="299"/>
      <c r="C11" s="298"/>
      <c r="D11" s="298"/>
      <c r="E11" s="298"/>
      <c r="F11" s="30"/>
      <c r="G11" s="298"/>
      <c r="H11" s="298"/>
      <c r="I11" s="298"/>
      <c r="J11" s="30"/>
      <c r="K11" s="31"/>
      <c r="L11" s="29"/>
      <c r="M11" s="29"/>
      <c r="N11" s="29"/>
      <c r="O11" s="30"/>
      <c r="P11" s="29"/>
      <c r="Q11" s="29"/>
      <c r="R11" s="29"/>
      <c r="S11" s="30"/>
      <c r="T11" s="31"/>
      <c r="U11" s="32"/>
    </row>
    <row r="12" spans="1:21" ht="15.75" thickBot="1" x14ac:dyDescent="0.3">
      <c r="A12" s="6"/>
      <c r="B12" s="119"/>
      <c r="C12" s="33"/>
      <c r="D12" s="33"/>
      <c r="E12" s="33"/>
      <c r="F12" s="34"/>
      <c r="G12" s="33"/>
      <c r="H12" s="33"/>
      <c r="I12" s="33"/>
      <c r="J12" s="34"/>
      <c r="K12" s="35"/>
      <c r="L12" s="33"/>
      <c r="M12" s="33"/>
      <c r="N12" s="33"/>
      <c r="O12" s="34"/>
      <c r="P12" s="33"/>
      <c r="Q12" s="33"/>
      <c r="R12" s="33"/>
      <c r="S12" s="34"/>
      <c r="T12" s="35"/>
      <c r="U12" s="36"/>
    </row>
    <row r="13" spans="1:21" ht="15.75" thickBot="1" x14ac:dyDescent="0.3">
      <c r="A13" s="145"/>
      <c r="B13" s="190"/>
      <c r="C13" s="191"/>
      <c r="D13" s="191"/>
      <c r="E13" s="191"/>
      <c r="F13" s="191"/>
      <c r="G13" s="191"/>
      <c r="H13" s="191"/>
      <c r="I13" s="191"/>
      <c r="J13" s="191"/>
      <c r="K13" s="192"/>
      <c r="L13" s="191"/>
      <c r="M13" s="191"/>
      <c r="N13" s="191"/>
      <c r="O13" s="191"/>
      <c r="P13" s="191"/>
      <c r="Q13" s="191"/>
      <c r="R13" s="191"/>
      <c r="S13" s="191"/>
      <c r="T13" s="192"/>
      <c r="U13" s="193"/>
    </row>
    <row r="14" spans="1:21" x14ac:dyDescent="0.25">
      <c r="A14" s="22"/>
      <c r="B14" s="114"/>
      <c r="C14" s="45"/>
      <c r="D14" s="45"/>
      <c r="E14" s="45"/>
      <c r="F14" s="46"/>
      <c r="G14" s="45"/>
      <c r="H14" s="45"/>
      <c r="I14" s="45"/>
      <c r="J14" s="46"/>
      <c r="K14" s="194"/>
      <c r="L14" s="45"/>
      <c r="M14" s="45"/>
      <c r="N14" s="45"/>
      <c r="O14" s="46"/>
      <c r="P14" s="45"/>
      <c r="Q14" s="45"/>
      <c r="R14" s="45"/>
      <c r="S14" s="46"/>
      <c r="T14" s="194"/>
      <c r="U14" s="195"/>
    </row>
    <row r="15" spans="1:21" x14ac:dyDescent="0.25">
      <c r="A15" s="5"/>
      <c r="B15" s="67"/>
      <c r="C15" s="37"/>
      <c r="D15" s="37"/>
      <c r="E15" s="37"/>
      <c r="F15" s="38"/>
      <c r="G15" s="37"/>
      <c r="H15" s="37"/>
      <c r="I15" s="37"/>
      <c r="J15" s="38"/>
      <c r="K15" s="116"/>
      <c r="L15" s="37"/>
      <c r="M15" s="37"/>
      <c r="N15" s="37"/>
      <c r="O15" s="38"/>
      <c r="P15" s="37"/>
      <c r="Q15" s="37"/>
      <c r="R15" s="37"/>
      <c r="S15" s="38"/>
      <c r="T15" s="116"/>
      <c r="U15" s="40"/>
    </row>
    <row r="16" spans="1:21" x14ac:dyDescent="0.25">
      <c r="A16" s="5"/>
      <c r="B16" s="67"/>
      <c r="C16" s="37"/>
      <c r="D16" s="37"/>
      <c r="E16" s="37"/>
      <c r="F16" s="38"/>
      <c r="G16" s="37"/>
      <c r="H16" s="37"/>
      <c r="I16" s="37"/>
      <c r="J16" s="38"/>
      <c r="K16" s="116"/>
      <c r="L16" s="37"/>
      <c r="M16" s="37"/>
      <c r="N16" s="37"/>
      <c r="O16" s="38"/>
      <c r="P16" s="37"/>
      <c r="Q16" s="37"/>
      <c r="R16" s="37"/>
      <c r="S16" s="38"/>
      <c r="T16" s="116"/>
      <c r="U16" s="40"/>
    </row>
    <row r="17" spans="1:21" x14ac:dyDescent="0.25">
      <c r="A17" s="5"/>
      <c r="B17" s="67"/>
      <c r="C17" s="37"/>
      <c r="D17" s="3"/>
      <c r="E17" s="167"/>
      <c r="F17" s="38"/>
      <c r="G17" s="3"/>
      <c r="H17" s="3"/>
      <c r="I17" s="3"/>
      <c r="J17" s="38"/>
      <c r="K17" s="116"/>
      <c r="L17" s="3"/>
      <c r="M17" s="3"/>
      <c r="N17" s="3"/>
      <c r="O17" s="38"/>
      <c r="P17" s="3"/>
      <c r="Q17" s="3"/>
      <c r="R17" s="3"/>
      <c r="S17" s="38"/>
      <c r="T17" s="116"/>
      <c r="U17" s="40"/>
    </row>
    <row r="18" spans="1:21" x14ac:dyDescent="0.25">
      <c r="A18" s="5"/>
      <c r="B18" s="67"/>
      <c r="C18" s="37"/>
      <c r="D18" s="3"/>
      <c r="E18" s="3"/>
      <c r="F18" s="38"/>
      <c r="G18" s="3"/>
      <c r="H18" s="3"/>
      <c r="I18" s="3"/>
      <c r="J18" s="38"/>
      <c r="K18" s="116"/>
      <c r="L18" s="167"/>
      <c r="M18" s="3"/>
      <c r="N18" s="3"/>
      <c r="O18" s="38"/>
      <c r="P18" s="3"/>
      <c r="Q18" s="3"/>
      <c r="R18" s="3"/>
      <c r="S18" s="38"/>
      <c r="T18" s="116"/>
      <c r="U18" s="40"/>
    </row>
    <row r="19" spans="1:21" x14ac:dyDescent="0.25">
      <c r="A19" s="5"/>
      <c r="B19" s="67"/>
      <c r="C19" s="37"/>
      <c r="D19" s="3"/>
      <c r="E19" s="3"/>
      <c r="F19" s="38"/>
      <c r="G19" s="167"/>
      <c r="H19" s="3"/>
      <c r="I19" s="3"/>
      <c r="J19" s="38"/>
      <c r="K19" s="116"/>
      <c r="L19" s="3"/>
      <c r="M19" s="3"/>
      <c r="N19" s="3"/>
      <c r="O19" s="38"/>
      <c r="P19" s="3"/>
      <c r="Q19" s="3"/>
      <c r="R19" s="3"/>
      <c r="S19" s="38"/>
      <c r="T19" s="116"/>
      <c r="U19" s="40"/>
    </row>
    <row r="20" spans="1:21" x14ac:dyDescent="0.25">
      <c r="A20" s="5"/>
      <c r="B20" s="67"/>
      <c r="C20" s="37"/>
      <c r="D20" s="3"/>
      <c r="E20" s="167"/>
      <c r="F20" s="38"/>
      <c r="G20" s="3"/>
      <c r="H20" s="3"/>
      <c r="I20" s="3"/>
      <c r="J20" s="38"/>
      <c r="K20" s="116"/>
      <c r="L20" s="3"/>
      <c r="M20" s="3"/>
      <c r="N20" s="3"/>
      <c r="O20" s="38"/>
      <c r="P20" s="3"/>
      <c r="Q20" s="3"/>
      <c r="R20" s="3"/>
      <c r="S20" s="38"/>
      <c r="T20" s="116"/>
      <c r="U20" s="40"/>
    </row>
    <row r="21" spans="1:21" x14ac:dyDescent="0.25">
      <c r="A21" s="5"/>
      <c r="B21" s="67"/>
      <c r="C21" s="37"/>
      <c r="D21" s="3"/>
      <c r="E21" s="3"/>
      <c r="F21" s="38"/>
      <c r="G21" s="3"/>
      <c r="H21" s="3"/>
      <c r="I21" s="3"/>
      <c r="J21" s="38"/>
      <c r="K21" s="116"/>
      <c r="L21" s="3"/>
      <c r="M21" s="3"/>
      <c r="N21" s="3"/>
      <c r="O21" s="38"/>
      <c r="P21" s="3"/>
      <c r="Q21" s="3"/>
      <c r="R21" s="3"/>
      <c r="S21" s="38"/>
      <c r="T21" s="116"/>
      <c r="U21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3607-B9D5-46A2-B8F3-A280ACADEEA6}">
  <dimension ref="A1:P473"/>
  <sheetViews>
    <sheetView zoomScaleNormal="100" workbookViewId="0">
      <selection activeCell="J87" sqref="J87"/>
    </sheetView>
  </sheetViews>
  <sheetFormatPr defaultRowHeight="15" x14ac:dyDescent="0.25"/>
  <cols>
    <col min="1" max="1" width="10.42578125" bestFit="1" customWidth="1"/>
    <col min="2" max="2" width="24.5703125" style="60" bestFit="1" customWidth="1"/>
    <col min="3" max="3" width="27.5703125" style="61" bestFit="1" customWidth="1"/>
    <col min="4" max="4" width="12.85546875" style="62" bestFit="1" customWidth="1"/>
    <col min="5" max="5" width="15.7109375" style="179" bestFit="1" customWidth="1"/>
    <col min="6" max="6" width="19.7109375" bestFit="1" customWidth="1"/>
    <col min="7" max="7" width="13.140625" style="37" bestFit="1" customWidth="1"/>
    <col min="9" max="9" width="10.140625" bestFit="1" customWidth="1"/>
    <col min="10" max="10" width="9.85546875" bestFit="1" customWidth="1"/>
    <col min="12" max="12" width="21.140625" bestFit="1" customWidth="1"/>
    <col min="14" max="14" width="16.42578125" bestFit="1" customWidth="1"/>
    <col min="15" max="15" width="11.85546875" bestFit="1" customWidth="1"/>
    <col min="16" max="16" width="9" bestFit="1" customWidth="1"/>
    <col min="17" max="17" width="9.85546875" bestFit="1" customWidth="1"/>
  </cols>
  <sheetData>
    <row r="1" spans="1:16" x14ac:dyDescent="0.25">
      <c r="A1" s="66" t="s">
        <v>116</v>
      </c>
      <c r="B1" s="63" t="s">
        <v>117</v>
      </c>
      <c r="C1" s="64" t="s">
        <v>118</v>
      </c>
      <c r="D1" s="65" t="s">
        <v>119</v>
      </c>
      <c r="E1" s="66" t="s">
        <v>120</v>
      </c>
      <c r="F1" s="180" t="s">
        <v>121</v>
      </c>
      <c r="G1" s="66" t="s">
        <v>122</v>
      </c>
      <c r="H1" s="208" t="s">
        <v>113</v>
      </c>
    </row>
    <row r="2" spans="1:16" x14ac:dyDescent="0.25">
      <c r="A2" s="66"/>
      <c r="B2" s="63"/>
      <c r="C2" s="64"/>
      <c r="D2" s="65"/>
      <c r="E2" s="51"/>
      <c r="F2" s="181"/>
      <c r="H2" s="75"/>
    </row>
    <row r="3" spans="1:16" x14ac:dyDescent="0.25">
      <c r="A3" s="66"/>
      <c r="B3" s="67"/>
      <c r="C3" s="68"/>
      <c r="D3" s="182"/>
      <c r="E3" s="51"/>
      <c r="F3" s="181"/>
      <c r="G3" s="37"/>
      <c r="H3"/>
    </row>
    <row r="4" spans="1:16" x14ac:dyDescent="0.25">
      <c r="A4" s="3"/>
      <c r="B4" s="67"/>
      <c r="C4" s="68"/>
      <c r="D4" s="182"/>
      <c r="E4" s="51"/>
      <c r="F4" s="181"/>
      <c r="G4" s="37"/>
      <c r="H4"/>
    </row>
    <row r="5" spans="1:16" x14ac:dyDescent="0.25">
      <c r="A5" s="3"/>
      <c r="B5" s="183"/>
      <c r="C5" s="184"/>
      <c r="D5" s="185"/>
      <c r="E5" s="186"/>
      <c r="F5" s="187"/>
      <c r="G5" s="188"/>
    </row>
    <row r="6" spans="1:16" x14ac:dyDescent="0.25">
      <c r="A6" s="66"/>
      <c r="B6" s="67"/>
      <c r="C6" s="68"/>
      <c r="D6" s="182"/>
      <c r="E6" s="51"/>
      <c r="F6" s="181"/>
      <c r="G6" s="37"/>
      <c r="H6"/>
      <c r="J6"/>
      <c r="K6"/>
    </row>
    <row r="7" spans="1:16" x14ac:dyDescent="0.25">
      <c r="A7" s="3"/>
      <c r="B7" s="67"/>
      <c r="C7" s="68"/>
      <c r="D7" s="182"/>
      <c r="E7" s="51"/>
      <c r="F7" s="181"/>
      <c r="G7" s="37"/>
      <c r="H7"/>
      <c r="J7"/>
      <c r="K7"/>
    </row>
    <row r="8" spans="1:16" x14ac:dyDescent="0.25">
      <c r="A8" s="3"/>
      <c r="B8" s="67"/>
      <c r="C8" s="68"/>
      <c r="D8" s="182"/>
      <c r="E8" s="189"/>
      <c r="F8" s="181"/>
      <c r="G8" s="37"/>
      <c r="H8"/>
      <c r="J8"/>
      <c r="K8"/>
    </row>
    <row r="9" spans="1:16" x14ac:dyDescent="0.25">
      <c r="A9" s="3"/>
      <c r="B9" s="67"/>
      <c r="C9" s="68"/>
      <c r="D9" s="182"/>
      <c r="E9" s="51"/>
      <c r="F9" s="181"/>
      <c r="G9" s="37"/>
      <c r="H9"/>
      <c r="J9"/>
      <c r="K9"/>
    </row>
    <row r="10" spans="1:16" x14ac:dyDescent="0.25">
      <c r="A10" s="3"/>
      <c r="B10" s="67"/>
      <c r="C10" s="68"/>
      <c r="D10" s="182"/>
      <c r="E10" s="51"/>
      <c r="F10" s="181"/>
      <c r="G10" s="37"/>
      <c r="H10"/>
    </row>
    <row r="11" spans="1:16" x14ac:dyDescent="0.25">
      <c r="A11" s="66"/>
      <c r="B11" s="67"/>
      <c r="C11" s="68"/>
      <c r="D11" s="182"/>
      <c r="E11" s="51"/>
      <c r="F11" s="3"/>
      <c r="G11" s="37"/>
      <c r="H11"/>
    </row>
    <row r="12" spans="1:16" x14ac:dyDescent="0.25">
      <c r="A12" s="3"/>
      <c r="B12" s="67"/>
      <c r="C12" s="68"/>
      <c r="D12" s="69"/>
      <c r="E12" s="51"/>
      <c r="F12" s="3"/>
    </row>
    <row r="13" spans="1:16" x14ac:dyDescent="0.25">
      <c r="A13" s="66"/>
      <c r="B13" s="67"/>
      <c r="C13" s="68"/>
      <c r="D13" s="204"/>
      <c r="E13" s="51"/>
      <c r="F13" s="3"/>
      <c r="G13" s="37"/>
      <c r="H13"/>
      <c r="N13"/>
      <c r="O13"/>
      <c r="P13"/>
    </row>
    <row r="14" spans="1:16" x14ac:dyDescent="0.25">
      <c r="A14" s="3"/>
      <c r="B14" s="67"/>
      <c r="C14" s="68"/>
      <c r="D14" s="204"/>
      <c r="E14" s="189"/>
      <c r="F14" s="3"/>
      <c r="G14" s="37"/>
      <c r="H14"/>
      <c r="N14"/>
      <c r="O14"/>
      <c r="P14"/>
    </row>
    <row r="15" spans="1:16" x14ac:dyDescent="0.25">
      <c r="A15" s="3"/>
      <c r="B15" s="67"/>
      <c r="C15" s="68"/>
      <c r="D15" s="204"/>
      <c r="E15" s="51"/>
      <c r="F15" s="3"/>
      <c r="G15" s="37"/>
      <c r="H15"/>
      <c r="N15"/>
      <c r="O15"/>
      <c r="P15"/>
    </row>
    <row r="16" spans="1:16" x14ac:dyDescent="0.25">
      <c r="A16" s="3"/>
      <c r="B16" s="67"/>
      <c r="C16" s="68"/>
      <c r="D16" s="204"/>
      <c r="E16" s="51"/>
      <c r="F16" s="3"/>
      <c r="G16" s="37"/>
      <c r="H16"/>
      <c r="N16"/>
      <c r="O16"/>
      <c r="P16"/>
    </row>
    <row r="17" spans="1:16" x14ac:dyDescent="0.25">
      <c r="A17" s="3"/>
      <c r="B17" s="67"/>
      <c r="C17" s="68"/>
      <c r="D17" s="204"/>
      <c r="E17" s="51"/>
      <c r="F17" s="3"/>
      <c r="G17" s="37"/>
      <c r="H17"/>
      <c r="N17"/>
      <c r="O17"/>
      <c r="P17"/>
    </row>
    <row r="18" spans="1:16" x14ac:dyDescent="0.25">
      <c r="A18" s="3"/>
      <c r="B18" s="67"/>
      <c r="C18" s="68"/>
      <c r="D18" s="204"/>
      <c r="E18" s="51"/>
      <c r="F18" s="3"/>
      <c r="G18" s="37"/>
      <c r="H18"/>
    </row>
    <row r="19" spans="1:16" x14ac:dyDescent="0.25">
      <c r="A19" s="3"/>
      <c r="B19" s="67"/>
      <c r="C19" s="68"/>
      <c r="D19" s="204"/>
      <c r="E19" s="51"/>
      <c r="F19" s="3"/>
      <c r="G19" s="37"/>
      <c r="H19"/>
    </row>
    <row r="20" spans="1:16" x14ac:dyDescent="0.25">
      <c r="A20" s="3"/>
      <c r="B20" s="67"/>
      <c r="C20" s="68"/>
      <c r="D20" s="204"/>
      <c r="E20" s="51"/>
      <c r="F20" s="3"/>
      <c r="G20" s="37"/>
      <c r="H20"/>
    </row>
    <row r="21" spans="1:16" x14ac:dyDescent="0.25">
      <c r="A21" s="3"/>
      <c r="B21" s="67"/>
      <c r="C21" s="68"/>
      <c r="D21" s="204"/>
      <c r="E21" s="51"/>
      <c r="F21" s="3"/>
      <c r="G21" s="37"/>
      <c r="H21"/>
    </row>
    <row r="22" spans="1:16" x14ac:dyDescent="0.25">
      <c r="A22" s="3"/>
      <c r="B22" s="67"/>
      <c r="C22" s="68"/>
      <c r="D22" s="204"/>
      <c r="E22" s="51"/>
      <c r="F22" s="3"/>
      <c r="G22" s="37"/>
      <c r="H22"/>
    </row>
    <row r="23" spans="1:16" x14ac:dyDescent="0.25">
      <c r="A23" s="3"/>
      <c r="B23" s="67"/>
      <c r="C23" s="68"/>
      <c r="D23" s="69"/>
      <c r="E23" s="51"/>
      <c r="F23" s="3"/>
    </row>
    <row r="24" spans="1:16" x14ac:dyDescent="0.25">
      <c r="A24" s="66"/>
      <c r="B24" s="67"/>
      <c r="C24" s="68"/>
      <c r="D24" s="204"/>
      <c r="E24" s="51"/>
      <c r="F24" s="3"/>
      <c r="G24" s="37"/>
      <c r="H24"/>
    </row>
    <row r="25" spans="1:16" x14ac:dyDescent="0.25">
      <c r="A25" s="3"/>
      <c r="B25" s="67"/>
      <c r="C25" s="68"/>
      <c r="D25" s="204"/>
      <c r="E25" s="51"/>
      <c r="F25" s="3"/>
      <c r="G25" s="37"/>
      <c r="H25"/>
    </row>
    <row r="26" spans="1:16" x14ac:dyDescent="0.25">
      <c r="A26" s="3"/>
      <c r="B26" s="67"/>
      <c r="C26" s="61"/>
      <c r="D26" s="204"/>
      <c r="E26" s="51"/>
      <c r="F26" s="3"/>
      <c r="G26" s="37"/>
      <c r="H26"/>
    </row>
    <row r="27" spans="1:16" x14ac:dyDescent="0.25">
      <c r="A27" s="68"/>
      <c r="B27" s="67"/>
      <c r="C27" s="68"/>
      <c r="D27" s="204"/>
      <c r="E27" s="189"/>
      <c r="F27" s="3"/>
      <c r="G27" s="37"/>
      <c r="H27" s="207"/>
    </row>
    <row r="28" spans="1:16" x14ac:dyDescent="0.25">
      <c r="A28" s="3"/>
      <c r="B28" s="67"/>
      <c r="C28" s="68"/>
      <c r="D28" s="204"/>
      <c r="E28" s="51"/>
      <c r="F28" s="3"/>
      <c r="G28" s="37"/>
      <c r="H28"/>
    </row>
    <row r="29" spans="1:16" x14ac:dyDescent="0.25">
      <c r="A29" s="3"/>
      <c r="B29" s="67"/>
      <c r="C29" s="68"/>
      <c r="D29" s="204"/>
      <c r="E29" s="51"/>
      <c r="F29" s="3"/>
      <c r="G29" s="37"/>
      <c r="H29"/>
    </row>
    <row r="30" spans="1:16" x14ac:dyDescent="0.25">
      <c r="A30" s="3"/>
      <c r="B30" s="67"/>
      <c r="C30" s="68"/>
      <c r="D30" s="204"/>
      <c r="E30" s="51"/>
      <c r="F30" s="3"/>
      <c r="G30" s="37"/>
      <c r="H30"/>
    </row>
    <row r="31" spans="1:16" x14ac:dyDescent="0.25">
      <c r="A31" s="3"/>
      <c r="B31" s="67"/>
      <c r="C31" s="68"/>
      <c r="D31" s="204"/>
      <c r="E31" s="189"/>
      <c r="F31" s="3"/>
      <c r="G31" s="37"/>
      <c r="H31" s="207"/>
    </row>
    <row r="32" spans="1:16" x14ac:dyDescent="0.25">
      <c r="A32" s="3"/>
      <c r="B32" s="67"/>
      <c r="C32" s="68"/>
      <c r="D32" s="204"/>
      <c r="E32" s="189"/>
      <c r="F32" s="3"/>
      <c r="G32" s="37"/>
      <c r="H32" s="207"/>
    </row>
    <row r="33" spans="1:10" x14ac:dyDescent="0.25">
      <c r="A33" s="3"/>
      <c r="B33" s="67"/>
      <c r="C33" s="68"/>
      <c r="D33" s="204"/>
      <c r="E33" s="51"/>
      <c r="F33" s="3"/>
      <c r="G33" s="37"/>
      <c r="H33"/>
    </row>
    <row r="34" spans="1:10" x14ac:dyDescent="0.25">
      <c r="A34" s="3"/>
      <c r="B34" s="67"/>
      <c r="C34" s="68"/>
      <c r="D34" s="204"/>
      <c r="E34" s="51"/>
      <c r="F34" s="3"/>
      <c r="G34" s="37"/>
      <c r="H34"/>
      <c r="J34" s="75"/>
    </row>
    <row r="35" spans="1:10" x14ac:dyDescent="0.25">
      <c r="A35" s="3"/>
      <c r="B35" s="67"/>
      <c r="C35" s="68"/>
      <c r="D35" s="204"/>
      <c r="E35" s="51"/>
      <c r="F35" s="3"/>
      <c r="G35" s="37"/>
      <c r="H35"/>
    </row>
    <row r="36" spans="1:10" x14ac:dyDescent="0.25">
      <c r="A36" s="3"/>
      <c r="B36" s="67"/>
      <c r="C36" s="68"/>
      <c r="D36" s="212"/>
      <c r="E36" s="51"/>
      <c r="F36" s="3"/>
      <c r="G36" s="37"/>
      <c r="H36"/>
    </row>
    <row r="37" spans="1:10" x14ac:dyDescent="0.25">
      <c r="A37" s="3"/>
      <c r="B37" s="67"/>
      <c r="C37" s="68"/>
      <c r="D37" s="204"/>
      <c r="E37" s="51"/>
      <c r="F37" s="3"/>
      <c r="G37" s="37"/>
      <c r="H37"/>
    </row>
    <row r="38" spans="1:10" x14ac:dyDescent="0.25">
      <c r="A38" s="3"/>
      <c r="B38" s="67"/>
      <c r="C38" s="68"/>
      <c r="D38" s="204"/>
      <c r="E38" s="189"/>
      <c r="F38" s="3"/>
      <c r="G38" s="37"/>
      <c r="H38"/>
    </row>
    <row r="39" spans="1:10" x14ac:dyDescent="0.25">
      <c r="A39" s="3"/>
      <c r="B39" s="67"/>
      <c r="C39" s="68"/>
      <c r="D39" s="204"/>
      <c r="E39" s="51"/>
      <c r="F39" s="3"/>
      <c r="G39" s="37"/>
      <c r="H39"/>
    </row>
    <row r="40" spans="1:10" x14ac:dyDescent="0.25">
      <c r="A40" s="3"/>
      <c r="B40" s="67"/>
      <c r="C40" s="68"/>
      <c r="D40" s="204"/>
      <c r="E40" s="189"/>
      <c r="F40" s="3"/>
      <c r="G40" s="37"/>
      <c r="H40" s="207"/>
    </row>
    <row r="41" spans="1:10" x14ac:dyDescent="0.25">
      <c r="A41" s="3"/>
      <c r="B41" s="67"/>
      <c r="C41" s="68"/>
      <c r="D41" s="204"/>
      <c r="E41" s="189"/>
      <c r="F41" s="3"/>
      <c r="G41" s="37"/>
      <c r="H41" s="207"/>
    </row>
    <row r="42" spans="1:10" x14ac:dyDescent="0.25">
      <c r="A42" s="3"/>
      <c r="B42" s="67"/>
      <c r="C42" s="68"/>
      <c r="D42" s="69"/>
      <c r="E42" s="51"/>
      <c r="F42" s="3"/>
    </row>
    <row r="43" spans="1:10" x14ac:dyDescent="0.25">
      <c r="A43" s="66"/>
      <c r="B43" s="67"/>
      <c r="C43" s="68"/>
      <c r="D43" s="204"/>
      <c r="E43" s="51"/>
      <c r="F43" s="3"/>
      <c r="G43" s="37"/>
      <c r="H43"/>
    </row>
    <row r="44" spans="1:10" x14ac:dyDescent="0.25">
      <c r="A44" s="3"/>
      <c r="B44" s="67"/>
      <c r="C44" s="68"/>
      <c r="D44" s="204"/>
      <c r="E44" s="51"/>
      <c r="F44" s="3"/>
      <c r="G44" s="37"/>
      <c r="H44"/>
    </row>
    <row r="45" spans="1:10" x14ac:dyDescent="0.25">
      <c r="A45" s="3"/>
      <c r="B45" s="67"/>
      <c r="C45" s="68"/>
      <c r="D45" s="204"/>
      <c r="E45" s="51"/>
      <c r="F45" s="3"/>
      <c r="G45" s="37"/>
      <c r="H45"/>
    </row>
    <row r="46" spans="1:10" x14ac:dyDescent="0.25">
      <c r="A46" s="3"/>
      <c r="B46" s="67"/>
      <c r="C46" s="68"/>
      <c r="D46" s="204"/>
      <c r="E46" s="51"/>
      <c r="F46" s="3"/>
      <c r="G46" s="37"/>
      <c r="H46"/>
    </row>
    <row r="47" spans="1:10" x14ac:dyDescent="0.25">
      <c r="A47" s="3"/>
      <c r="B47" s="67"/>
      <c r="C47" s="68"/>
      <c r="D47" s="204"/>
      <c r="E47" s="51"/>
      <c r="F47" s="3"/>
      <c r="G47" s="37"/>
      <c r="H47"/>
    </row>
    <row r="48" spans="1:10" x14ac:dyDescent="0.25">
      <c r="A48" s="3"/>
      <c r="B48" s="67"/>
      <c r="C48" s="68"/>
      <c r="D48" s="204"/>
      <c r="E48" s="51"/>
      <c r="F48" s="3"/>
      <c r="G48" s="37"/>
      <c r="H48"/>
    </row>
    <row r="49" spans="1:8" x14ac:dyDescent="0.25">
      <c r="A49" s="3"/>
      <c r="B49" s="67"/>
      <c r="C49" s="68"/>
      <c r="D49" s="204"/>
      <c r="E49" s="51"/>
      <c r="F49" s="3"/>
      <c r="G49" s="37"/>
      <c r="H49"/>
    </row>
    <row r="50" spans="1:8" x14ac:dyDescent="0.25">
      <c r="A50" s="3"/>
      <c r="B50" s="67"/>
      <c r="C50" s="68"/>
      <c r="D50" s="204"/>
      <c r="E50" s="51"/>
      <c r="F50" s="3"/>
      <c r="G50" s="37"/>
      <c r="H50"/>
    </row>
    <row r="51" spans="1:8" x14ac:dyDescent="0.25">
      <c r="A51" s="3"/>
      <c r="B51" s="67"/>
      <c r="C51" s="68"/>
      <c r="D51" s="204"/>
      <c r="E51" s="51"/>
      <c r="F51" s="3"/>
      <c r="G51" s="37"/>
      <c r="H51"/>
    </row>
    <row r="52" spans="1:8" x14ac:dyDescent="0.25">
      <c r="A52" s="3"/>
      <c r="B52" s="67"/>
      <c r="C52" s="68"/>
      <c r="D52" s="204"/>
      <c r="E52" s="51"/>
      <c r="F52" s="3"/>
      <c r="G52" s="37"/>
      <c r="H52"/>
    </row>
    <row r="53" spans="1:8" x14ac:dyDescent="0.25">
      <c r="A53" s="3"/>
      <c r="B53" s="67"/>
      <c r="C53" s="68"/>
      <c r="D53" s="69"/>
      <c r="E53" s="51"/>
      <c r="F53" s="3"/>
    </row>
    <row r="54" spans="1:8" x14ac:dyDescent="0.25">
      <c r="A54" s="66"/>
      <c r="B54" s="67"/>
      <c r="C54" s="68"/>
      <c r="D54" s="204"/>
      <c r="E54" s="189"/>
      <c r="F54" s="3"/>
      <c r="G54" s="37"/>
      <c r="H54"/>
    </row>
    <row r="55" spans="1:8" x14ac:dyDescent="0.25">
      <c r="A55" s="3"/>
      <c r="B55" s="67"/>
      <c r="C55" s="68"/>
      <c r="D55" s="204"/>
      <c r="E55" s="51"/>
      <c r="F55" s="3"/>
      <c r="G55" s="37"/>
      <c r="H55"/>
    </row>
    <row r="56" spans="1:8" x14ac:dyDescent="0.25">
      <c r="A56" s="3"/>
      <c r="B56" s="67"/>
      <c r="C56" s="68"/>
      <c r="D56" s="212"/>
      <c r="E56" s="51"/>
      <c r="F56" s="3"/>
      <c r="G56" s="37"/>
      <c r="H56"/>
    </row>
    <row r="57" spans="1:8" x14ac:dyDescent="0.25">
      <c r="A57" s="3"/>
      <c r="B57" s="67"/>
      <c r="C57" s="68"/>
      <c r="D57" s="204"/>
      <c r="E57" s="51"/>
      <c r="F57" s="3"/>
      <c r="G57" s="37"/>
      <c r="H57"/>
    </row>
    <row r="58" spans="1:8" x14ac:dyDescent="0.25">
      <c r="A58" s="3"/>
      <c r="B58" s="67"/>
      <c r="C58" s="68"/>
      <c r="D58" s="204"/>
      <c r="E58" s="51"/>
      <c r="F58" s="3"/>
      <c r="G58" s="37"/>
      <c r="H58"/>
    </row>
    <row r="59" spans="1:8" x14ac:dyDescent="0.25">
      <c r="A59" s="3"/>
      <c r="B59" s="67"/>
      <c r="C59" s="68"/>
      <c r="D59" s="204"/>
      <c r="E59" s="51"/>
      <c r="F59" s="3"/>
      <c r="G59" s="37"/>
      <c r="H59"/>
    </row>
    <row r="60" spans="1:8" x14ac:dyDescent="0.25">
      <c r="A60" s="3"/>
      <c r="B60" s="67"/>
      <c r="C60" s="68"/>
      <c r="D60" s="204"/>
      <c r="E60" s="51"/>
      <c r="F60" s="3"/>
      <c r="G60" s="37"/>
      <c r="H60"/>
    </row>
    <row r="61" spans="1:8" x14ac:dyDescent="0.25">
      <c r="A61" s="3"/>
      <c r="B61" s="67"/>
      <c r="C61" s="68"/>
      <c r="D61" s="204"/>
      <c r="E61" s="189"/>
      <c r="F61" s="261"/>
      <c r="G61" s="37"/>
      <c r="H61"/>
    </row>
    <row r="62" spans="1:8" x14ac:dyDescent="0.25">
      <c r="A62" s="3"/>
      <c r="B62" s="67"/>
      <c r="C62" s="68"/>
      <c r="D62" s="69"/>
      <c r="E62" s="51"/>
      <c r="F62" s="3"/>
    </row>
    <row r="63" spans="1:8" x14ac:dyDescent="0.25">
      <c r="A63" s="66"/>
      <c r="B63" s="67"/>
      <c r="C63" s="294"/>
      <c r="D63" s="204"/>
      <c r="E63" s="51"/>
      <c r="F63" s="3"/>
      <c r="G63" s="37"/>
      <c r="H63"/>
    </row>
    <row r="64" spans="1:8" x14ac:dyDescent="0.25">
      <c r="A64" s="3"/>
      <c r="B64" s="67"/>
      <c r="C64" s="68"/>
      <c r="D64" s="204"/>
      <c r="E64" s="51"/>
      <c r="F64" s="3"/>
      <c r="G64" s="37"/>
      <c r="H64"/>
    </row>
    <row r="65" spans="1:8" x14ac:dyDescent="0.25">
      <c r="A65" s="3"/>
      <c r="B65" s="67"/>
      <c r="C65" s="68"/>
      <c r="D65" s="204"/>
      <c r="E65" s="51"/>
      <c r="F65" s="3"/>
      <c r="G65" s="37"/>
      <c r="H65"/>
    </row>
    <row r="66" spans="1:8" x14ac:dyDescent="0.25">
      <c r="A66" s="3"/>
      <c r="B66" s="67"/>
      <c r="C66" s="68"/>
      <c r="D66" s="204"/>
      <c r="E66" s="51"/>
      <c r="F66" s="3"/>
      <c r="G66" s="37"/>
      <c r="H66"/>
    </row>
    <row r="67" spans="1:8" x14ac:dyDescent="0.25">
      <c r="A67" s="3"/>
      <c r="B67" s="67"/>
      <c r="C67" s="68"/>
      <c r="D67" s="204"/>
      <c r="E67" s="51"/>
      <c r="F67" s="3"/>
      <c r="G67" s="37"/>
      <c r="H67"/>
    </row>
    <row r="68" spans="1:8" x14ac:dyDescent="0.25">
      <c r="A68" s="3"/>
      <c r="B68" s="183"/>
      <c r="C68" s="184"/>
      <c r="D68" s="210"/>
      <c r="E68" s="186"/>
      <c r="F68" s="295"/>
      <c r="G68" s="188"/>
      <c r="H68" s="211"/>
    </row>
    <row r="69" spans="1:8" x14ac:dyDescent="0.25">
      <c r="A69" s="3"/>
      <c r="B69" s="67"/>
      <c r="C69" s="68"/>
      <c r="D69" s="204"/>
      <c r="E69" s="51"/>
      <c r="F69" s="3"/>
      <c r="G69" s="37"/>
      <c r="H69"/>
    </row>
    <row r="70" spans="1:8" x14ac:dyDescent="0.25">
      <c r="A70" s="3"/>
      <c r="B70" s="67"/>
      <c r="C70" s="68"/>
      <c r="D70" s="204"/>
      <c r="E70" s="51"/>
      <c r="F70" s="3"/>
      <c r="G70" s="37"/>
      <c r="H70"/>
    </row>
    <row r="71" spans="1:8" x14ac:dyDescent="0.25">
      <c r="A71" s="3"/>
      <c r="B71" s="67"/>
      <c r="C71" s="68"/>
      <c r="D71" s="204"/>
      <c r="E71" s="51"/>
      <c r="F71" s="3"/>
      <c r="G71" s="37"/>
      <c r="H71"/>
    </row>
    <row r="72" spans="1:8" x14ac:dyDescent="0.25">
      <c r="A72" s="3"/>
      <c r="B72" s="67"/>
      <c r="C72" s="68"/>
      <c r="D72" s="204"/>
      <c r="E72" s="51"/>
      <c r="F72" s="3"/>
      <c r="G72" s="37"/>
      <c r="H72"/>
    </row>
    <row r="73" spans="1:8" x14ac:dyDescent="0.25">
      <c r="A73" s="3"/>
      <c r="B73" s="67"/>
      <c r="C73" s="68"/>
      <c r="D73" s="69"/>
      <c r="E73" s="51"/>
      <c r="F73" s="3"/>
    </row>
    <row r="74" spans="1:8" x14ac:dyDescent="0.25">
      <c r="A74" s="66"/>
      <c r="B74" s="67"/>
      <c r="C74" s="68"/>
      <c r="D74" s="204"/>
      <c r="E74" s="51"/>
      <c r="F74" s="3"/>
      <c r="G74" s="37"/>
      <c r="H74"/>
    </row>
    <row r="75" spans="1:8" x14ac:dyDescent="0.25">
      <c r="A75" s="3"/>
      <c r="B75" s="67"/>
      <c r="C75" s="68"/>
      <c r="D75" s="204"/>
      <c r="E75" s="51"/>
      <c r="F75" s="3"/>
      <c r="G75" s="37"/>
      <c r="H75"/>
    </row>
    <row r="76" spans="1:8" x14ac:dyDescent="0.25">
      <c r="A76" s="3"/>
      <c r="B76" s="67"/>
      <c r="C76" s="68"/>
      <c r="D76" s="204"/>
      <c r="E76" s="51"/>
      <c r="F76" s="3"/>
      <c r="G76" s="37"/>
      <c r="H76"/>
    </row>
    <row r="77" spans="1:8" x14ac:dyDescent="0.25">
      <c r="A77" s="3"/>
      <c r="B77" s="67"/>
      <c r="C77" s="68"/>
      <c r="D77" s="204"/>
      <c r="E77" s="51"/>
      <c r="F77" s="3"/>
      <c r="G77" s="37"/>
      <c r="H77"/>
    </row>
    <row r="78" spans="1:8" x14ac:dyDescent="0.25">
      <c r="A78" s="3"/>
      <c r="B78" s="67"/>
      <c r="C78" s="68"/>
      <c r="D78" s="204"/>
      <c r="E78" s="51"/>
      <c r="F78" s="3"/>
      <c r="G78" s="37"/>
      <c r="H78"/>
    </row>
    <row r="79" spans="1:8" x14ac:dyDescent="0.25">
      <c r="A79" s="3"/>
      <c r="B79" s="67"/>
      <c r="C79" s="68"/>
      <c r="D79" s="204"/>
      <c r="E79" s="51"/>
      <c r="F79" s="3"/>
      <c r="G79" s="37"/>
      <c r="H79"/>
    </row>
    <row r="80" spans="1:8" x14ac:dyDescent="0.25">
      <c r="A80" s="3"/>
      <c r="B80" s="67"/>
      <c r="C80" s="68"/>
      <c r="D80" s="204"/>
      <c r="E80" s="51"/>
      <c r="F80" s="3"/>
      <c r="G80" s="37"/>
      <c r="H80"/>
    </row>
    <row r="81" spans="1:8" x14ac:dyDescent="0.25">
      <c r="A81" s="3"/>
      <c r="B81" s="67"/>
      <c r="C81" s="68"/>
      <c r="D81" s="204"/>
      <c r="E81" s="51"/>
      <c r="F81" s="3"/>
      <c r="G81" s="37"/>
      <c r="H81"/>
    </row>
    <row r="82" spans="1:8" x14ac:dyDescent="0.25">
      <c r="A82" s="3"/>
      <c r="B82" s="67"/>
      <c r="C82" s="68"/>
      <c r="D82" s="204"/>
      <c r="E82" s="51"/>
      <c r="F82" s="3"/>
      <c r="G82" s="37"/>
      <c r="H82"/>
    </row>
    <row r="83" spans="1:8" x14ac:dyDescent="0.25">
      <c r="A83" s="3"/>
      <c r="B83" s="67"/>
      <c r="C83" s="68"/>
      <c r="D83" s="204"/>
      <c r="E83" s="51"/>
      <c r="F83" s="3"/>
      <c r="G83" s="37"/>
      <c r="H83"/>
    </row>
    <row r="84" spans="1:8" x14ac:dyDescent="0.25">
      <c r="A84" s="3"/>
      <c r="B84" s="67"/>
      <c r="C84" s="68"/>
      <c r="D84" s="204"/>
      <c r="E84" s="189"/>
      <c r="F84" s="3"/>
      <c r="G84" s="37"/>
      <c r="H84"/>
    </row>
    <row r="85" spans="1:8" x14ac:dyDescent="0.25">
      <c r="A85" s="3"/>
      <c r="B85" s="67"/>
      <c r="C85" s="68"/>
      <c r="D85" s="204"/>
      <c r="E85" s="51"/>
      <c r="F85" s="3"/>
      <c r="G85" s="37"/>
      <c r="H85"/>
    </row>
    <row r="86" spans="1:8" x14ac:dyDescent="0.25">
      <c r="A86" s="3"/>
      <c r="B86" s="67"/>
      <c r="C86" s="68"/>
      <c r="D86" s="204"/>
      <c r="E86" s="51"/>
      <c r="F86" s="3"/>
      <c r="G86" s="37"/>
      <c r="H86"/>
    </row>
    <row r="87" spans="1:8" x14ac:dyDescent="0.25">
      <c r="A87" s="3"/>
      <c r="B87" s="67"/>
      <c r="C87" s="68"/>
      <c r="D87" s="204"/>
      <c r="E87" s="51"/>
      <c r="F87" s="3"/>
      <c r="G87" s="37"/>
      <c r="H87"/>
    </row>
    <row r="88" spans="1:8" x14ac:dyDescent="0.25">
      <c r="A88" s="3"/>
      <c r="B88" s="67"/>
      <c r="C88" s="68"/>
      <c r="D88" s="204"/>
      <c r="E88" s="51"/>
      <c r="F88" s="3"/>
      <c r="G88" s="37"/>
      <c r="H88"/>
    </row>
    <row r="89" spans="1:8" x14ac:dyDescent="0.25">
      <c r="A89" s="3"/>
      <c r="B89" s="67"/>
      <c r="C89" s="68"/>
      <c r="D89" s="204"/>
      <c r="E89" s="51"/>
      <c r="F89" s="3"/>
      <c r="G89" s="37"/>
      <c r="H89"/>
    </row>
    <row r="90" spans="1:8" x14ac:dyDescent="0.25">
      <c r="A90" s="3"/>
      <c r="B90" s="67"/>
      <c r="C90" s="68"/>
      <c r="D90" s="69"/>
      <c r="E90" s="51"/>
      <c r="F90" s="3"/>
    </row>
    <row r="91" spans="1:8" x14ac:dyDescent="0.25">
      <c r="A91" s="66"/>
      <c r="B91" s="67"/>
      <c r="C91" s="68"/>
      <c r="D91" s="204"/>
      <c r="E91" s="51"/>
      <c r="F91" s="3"/>
      <c r="G91" s="37"/>
      <c r="H91"/>
    </row>
    <row r="92" spans="1:8" x14ac:dyDescent="0.25">
      <c r="A92" s="3"/>
      <c r="B92" s="67"/>
      <c r="C92" s="68"/>
      <c r="D92" s="204"/>
      <c r="E92" s="51"/>
      <c r="F92" s="3"/>
      <c r="G92" s="37"/>
      <c r="H92"/>
    </row>
    <row r="93" spans="1:8" x14ac:dyDescent="0.25">
      <c r="A93" s="3"/>
      <c r="B93" s="67"/>
      <c r="C93" s="68"/>
      <c r="D93" s="204"/>
      <c r="E93" s="51"/>
      <c r="F93" s="3"/>
      <c r="G93" s="37"/>
      <c r="H93"/>
    </row>
    <row r="94" spans="1:8" x14ac:dyDescent="0.25">
      <c r="A94" s="3"/>
      <c r="B94" s="67"/>
      <c r="C94" s="68"/>
      <c r="D94" s="204"/>
      <c r="E94" s="51"/>
      <c r="F94" s="3"/>
      <c r="G94" s="37"/>
      <c r="H94"/>
    </row>
    <row r="95" spans="1:8" x14ac:dyDescent="0.25">
      <c r="A95" s="3"/>
      <c r="B95" s="67"/>
      <c r="C95" s="68"/>
      <c r="D95" s="204"/>
      <c r="E95" s="51"/>
      <c r="F95" s="3"/>
      <c r="G95" s="37"/>
      <c r="H95"/>
    </row>
    <row r="96" spans="1:8" x14ac:dyDescent="0.25">
      <c r="A96" s="3"/>
      <c r="B96" s="67"/>
      <c r="C96" s="68"/>
      <c r="D96" s="204"/>
      <c r="E96" s="51"/>
      <c r="F96" s="3"/>
      <c r="G96" s="37"/>
      <c r="H96"/>
    </row>
    <row r="97" spans="1:8" x14ac:dyDescent="0.25">
      <c r="A97" s="3"/>
      <c r="B97" s="67"/>
      <c r="C97" s="68"/>
      <c r="D97" s="204"/>
      <c r="E97" s="313"/>
      <c r="F97" s="3"/>
      <c r="G97" s="37"/>
      <c r="H97"/>
    </row>
    <row r="98" spans="1:8" x14ac:dyDescent="0.25">
      <c r="A98" s="3"/>
      <c r="B98" s="67"/>
      <c r="C98" s="68"/>
      <c r="D98" s="204"/>
      <c r="E98" s="51"/>
      <c r="F98" s="3"/>
      <c r="G98" s="37"/>
      <c r="H98"/>
    </row>
    <row r="99" spans="1:8" x14ac:dyDescent="0.25">
      <c r="A99" s="3"/>
      <c r="B99" s="67"/>
      <c r="C99" s="68"/>
      <c r="D99" s="204"/>
      <c r="E99" s="189"/>
      <c r="F99" s="3"/>
      <c r="G99" s="37"/>
      <c r="H99"/>
    </row>
    <row r="100" spans="1:8" x14ac:dyDescent="0.25">
      <c r="A100" s="3"/>
      <c r="B100" s="67"/>
      <c r="C100" s="68"/>
      <c r="D100" s="204"/>
      <c r="E100" s="51"/>
      <c r="F100" s="3"/>
      <c r="G100" s="37"/>
      <c r="H100"/>
    </row>
    <row r="101" spans="1:8" x14ac:dyDescent="0.25">
      <c r="A101" s="3"/>
      <c r="B101" s="67"/>
      <c r="C101" s="68"/>
      <c r="D101" s="69"/>
      <c r="E101" s="51"/>
      <c r="F101" s="3"/>
    </row>
    <row r="102" spans="1:8" x14ac:dyDescent="0.25">
      <c r="A102" s="66"/>
      <c r="B102" s="67"/>
      <c r="C102" s="68"/>
      <c r="D102" s="204"/>
      <c r="E102" s="189"/>
      <c r="F102" s="3"/>
      <c r="G102" s="37"/>
      <c r="H102"/>
    </row>
    <row r="103" spans="1:8" x14ac:dyDescent="0.25">
      <c r="A103" s="3"/>
      <c r="B103" s="67"/>
      <c r="C103" s="68"/>
      <c r="D103" s="204"/>
      <c r="E103" s="51"/>
      <c r="F103" s="3"/>
      <c r="G103" s="37"/>
      <c r="H103"/>
    </row>
    <row r="104" spans="1:8" x14ac:dyDescent="0.25">
      <c r="A104" s="3"/>
      <c r="B104" s="67"/>
      <c r="C104" s="68"/>
      <c r="D104" s="204"/>
      <c r="E104" s="51"/>
      <c r="F104" s="3"/>
      <c r="G104" s="37"/>
      <c r="H104"/>
    </row>
    <row r="105" spans="1:8" x14ac:dyDescent="0.25">
      <c r="A105" s="3"/>
      <c r="B105" s="67"/>
      <c r="C105" s="68"/>
      <c r="D105" s="204"/>
      <c r="E105" s="51"/>
      <c r="F105" s="3"/>
      <c r="G105" s="37"/>
      <c r="H105"/>
    </row>
    <row r="106" spans="1:8" x14ac:dyDescent="0.25">
      <c r="A106" s="3"/>
      <c r="B106" s="67"/>
      <c r="C106" s="68"/>
      <c r="D106" s="204"/>
      <c r="E106" s="51"/>
      <c r="F106" s="3"/>
      <c r="G106" s="37"/>
      <c r="H106"/>
    </row>
    <row r="107" spans="1:8" x14ac:dyDescent="0.25">
      <c r="A107" s="3"/>
      <c r="B107" s="67"/>
      <c r="C107" s="68"/>
      <c r="D107" s="204"/>
      <c r="E107" s="51"/>
      <c r="F107" s="3"/>
      <c r="G107" s="37"/>
      <c r="H107"/>
    </row>
    <row r="108" spans="1:8" x14ac:dyDescent="0.25">
      <c r="A108" s="3"/>
      <c r="B108" s="67"/>
      <c r="C108" s="68"/>
      <c r="D108" s="204"/>
      <c r="E108" s="51"/>
      <c r="F108" s="3"/>
      <c r="G108" s="37"/>
      <c r="H108"/>
    </row>
    <row r="109" spans="1:8" x14ac:dyDescent="0.25">
      <c r="A109" s="3"/>
      <c r="B109" s="67"/>
      <c r="C109" s="68"/>
      <c r="D109" s="204"/>
      <c r="E109" s="189"/>
      <c r="F109" s="3"/>
      <c r="G109" s="37"/>
      <c r="H109"/>
    </row>
    <row r="110" spans="1:8" x14ac:dyDescent="0.25">
      <c r="A110" s="3"/>
      <c r="B110" s="67"/>
      <c r="C110" s="68"/>
      <c r="D110" s="204"/>
      <c r="E110" s="51"/>
      <c r="F110" s="3"/>
      <c r="G110" s="37"/>
      <c r="H110"/>
    </row>
    <row r="111" spans="1:8" x14ac:dyDescent="0.25">
      <c r="A111" s="3"/>
      <c r="B111" s="67"/>
      <c r="C111" s="68"/>
      <c r="D111" s="204"/>
      <c r="E111" s="51"/>
      <c r="F111" s="3"/>
      <c r="G111" s="37"/>
      <c r="H111"/>
    </row>
    <row r="112" spans="1:8" x14ac:dyDescent="0.25">
      <c r="A112" s="3"/>
      <c r="B112" s="67"/>
      <c r="C112" s="68"/>
      <c r="D112" s="204"/>
      <c r="E112" s="51"/>
      <c r="F112" s="3"/>
      <c r="G112" s="37"/>
      <c r="H112"/>
    </row>
    <row r="113" spans="1:8" x14ac:dyDescent="0.25">
      <c r="A113" s="3"/>
      <c r="B113" s="67"/>
      <c r="C113" s="68"/>
      <c r="D113" s="204"/>
      <c r="E113" s="51"/>
      <c r="F113" s="3"/>
      <c r="G113" s="37"/>
      <c r="H113"/>
    </row>
    <row r="114" spans="1:8" x14ac:dyDescent="0.25">
      <c r="A114" s="3"/>
      <c r="B114" s="67"/>
      <c r="C114" s="68"/>
      <c r="D114" s="69"/>
      <c r="E114" s="51"/>
      <c r="F114" s="3"/>
    </row>
    <row r="115" spans="1:8" x14ac:dyDescent="0.25">
      <c r="A115" s="3"/>
      <c r="B115" s="67"/>
      <c r="C115" s="68"/>
      <c r="D115" s="69"/>
      <c r="E115" s="51"/>
      <c r="F115" s="3"/>
    </row>
    <row r="116" spans="1:8" x14ac:dyDescent="0.25">
      <c r="A116" s="3"/>
      <c r="B116" s="67"/>
      <c r="C116" s="68"/>
      <c r="D116" s="69"/>
      <c r="E116" s="51"/>
      <c r="F116" s="3"/>
    </row>
    <row r="117" spans="1:8" x14ac:dyDescent="0.25">
      <c r="A117" s="3"/>
      <c r="B117" s="67"/>
      <c r="C117" s="68"/>
      <c r="D117" s="69"/>
      <c r="E117" s="51"/>
      <c r="F117" s="3"/>
    </row>
    <row r="118" spans="1:8" x14ac:dyDescent="0.25">
      <c r="A118" s="3"/>
      <c r="B118" s="67"/>
      <c r="C118" s="68"/>
      <c r="D118" s="69"/>
      <c r="E118" s="51"/>
      <c r="F118" s="3"/>
    </row>
    <row r="119" spans="1:8" x14ac:dyDescent="0.25">
      <c r="A119" s="3"/>
      <c r="B119" s="67"/>
      <c r="C119" s="68"/>
      <c r="D119" s="69"/>
      <c r="E119" s="51"/>
      <c r="F119" s="3"/>
    </row>
    <row r="120" spans="1:8" x14ac:dyDescent="0.25">
      <c r="A120" s="3"/>
      <c r="B120" s="67"/>
      <c r="C120" s="68"/>
      <c r="D120" s="69"/>
      <c r="E120" s="51"/>
      <c r="F120" s="3"/>
    </row>
    <row r="121" spans="1:8" x14ac:dyDescent="0.25">
      <c r="A121" s="3"/>
      <c r="B121" s="67"/>
      <c r="C121" s="68"/>
      <c r="D121" s="69"/>
      <c r="E121" s="51"/>
      <c r="F121" s="3"/>
    </row>
    <row r="122" spans="1:8" x14ac:dyDescent="0.25">
      <c r="A122" s="3"/>
      <c r="B122" s="67"/>
      <c r="C122" s="68"/>
      <c r="D122" s="69"/>
      <c r="E122" s="51"/>
      <c r="F122" s="3"/>
    </row>
    <row r="123" spans="1:8" x14ac:dyDescent="0.25">
      <c r="A123" s="3"/>
      <c r="B123" s="67"/>
      <c r="C123" s="68"/>
      <c r="D123" s="69"/>
      <c r="E123" s="51"/>
      <c r="F123" s="3"/>
    </row>
    <row r="124" spans="1:8" x14ac:dyDescent="0.25">
      <c r="A124" s="3"/>
      <c r="B124" s="67"/>
      <c r="C124" s="68"/>
      <c r="D124" s="69"/>
      <c r="E124" s="51"/>
      <c r="F124" s="3"/>
    </row>
    <row r="125" spans="1:8" x14ac:dyDescent="0.25">
      <c r="A125" s="3"/>
      <c r="B125" s="67"/>
      <c r="C125" s="68"/>
      <c r="D125" s="69"/>
      <c r="E125" s="51"/>
      <c r="F125" s="3"/>
    </row>
    <row r="126" spans="1:8" x14ac:dyDescent="0.25">
      <c r="A126" s="3"/>
      <c r="B126" s="67"/>
      <c r="C126" s="68"/>
      <c r="D126" s="69"/>
      <c r="E126" s="51"/>
      <c r="F126" s="3"/>
    </row>
    <row r="127" spans="1:8" x14ac:dyDescent="0.25">
      <c r="A127" s="3"/>
      <c r="B127" s="67"/>
      <c r="C127" s="68"/>
      <c r="D127" s="69"/>
      <c r="E127" s="51"/>
      <c r="F127" s="3"/>
    </row>
    <row r="128" spans="1:8" x14ac:dyDescent="0.25">
      <c r="A128" s="3"/>
      <c r="B128" s="67"/>
      <c r="C128" s="68"/>
      <c r="D128" s="69"/>
      <c r="E128" s="51"/>
      <c r="F128" s="3"/>
    </row>
    <row r="129" spans="1:6" x14ac:dyDescent="0.25">
      <c r="A129" s="3"/>
      <c r="B129" s="67"/>
      <c r="C129" s="68"/>
      <c r="D129" s="69"/>
      <c r="E129" s="51"/>
      <c r="F129" s="3"/>
    </row>
    <row r="130" spans="1:6" x14ac:dyDescent="0.25">
      <c r="A130" s="3"/>
      <c r="B130" s="67"/>
      <c r="C130" s="68"/>
      <c r="D130" s="69"/>
      <c r="E130" s="51"/>
      <c r="F130" s="3"/>
    </row>
    <row r="131" spans="1:6" x14ac:dyDescent="0.25">
      <c r="A131" s="3"/>
      <c r="B131" s="67"/>
      <c r="C131" s="68"/>
      <c r="D131" s="69"/>
      <c r="E131" s="51"/>
      <c r="F131" s="3"/>
    </row>
    <row r="132" spans="1:6" x14ac:dyDescent="0.25">
      <c r="A132" s="3"/>
      <c r="B132" s="67"/>
      <c r="C132" s="68"/>
      <c r="D132" s="69"/>
      <c r="E132" s="51"/>
      <c r="F132" s="3"/>
    </row>
    <row r="133" spans="1:6" x14ac:dyDescent="0.25">
      <c r="A133" s="3"/>
      <c r="B133" s="67"/>
      <c r="C133" s="68"/>
      <c r="D133" s="69"/>
      <c r="E133" s="51"/>
      <c r="F133" s="3"/>
    </row>
    <row r="134" spans="1:6" x14ac:dyDescent="0.25">
      <c r="A134" s="3"/>
      <c r="B134" s="67"/>
      <c r="C134" s="68"/>
      <c r="D134" s="69"/>
      <c r="E134" s="51"/>
      <c r="F134" s="3"/>
    </row>
    <row r="135" spans="1:6" x14ac:dyDescent="0.25">
      <c r="A135" s="3"/>
      <c r="B135" s="67"/>
      <c r="C135" s="68"/>
      <c r="D135" s="69"/>
      <c r="E135" s="51"/>
      <c r="F135" s="3"/>
    </row>
    <row r="136" spans="1:6" x14ac:dyDescent="0.25">
      <c r="A136" s="3"/>
      <c r="B136" s="67"/>
      <c r="C136" s="68"/>
      <c r="D136" s="69"/>
      <c r="E136" s="51"/>
      <c r="F136" s="3"/>
    </row>
    <row r="137" spans="1:6" x14ac:dyDescent="0.25">
      <c r="A137" s="3"/>
      <c r="B137" s="67"/>
      <c r="C137" s="68"/>
      <c r="D137" s="69"/>
      <c r="E137" s="51"/>
      <c r="F137" s="3"/>
    </row>
    <row r="138" spans="1:6" x14ac:dyDescent="0.25">
      <c r="A138" s="3"/>
      <c r="B138" s="67"/>
      <c r="C138" s="68"/>
      <c r="D138" s="69"/>
      <c r="E138" s="51"/>
      <c r="F138" s="3"/>
    </row>
    <row r="139" spans="1:6" x14ac:dyDescent="0.25">
      <c r="A139" s="3"/>
      <c r="B139" s="67"/>
      <c r="C139" s="68"/>
      <c r="D139" s="69"/>
      <c r="E139" s="51"/>
      <c r="F139" s="3"/>
    </row>
    <row r="140" spans="1:6" x14ac:dyDescent="0.25">
      <c r="A140" s="3"/>
      <c r="B140" s="67"/>
      <c r="C140" s="68"/>
      <c r="D140" s="69"/>
      <c r="E140" s="51"/>
      <c r="F140" s="3"/>
    </row>
    <row r="141" spans="1:6" x14ac:dyDescent="0.25">
      <c r="A141" s="3"/>
      <c r="B141" s="67"/>
      <c r="C141" s="68"/>
      <c r="D141" s="69"/>
      <c r="E141" s="51"/>
      <c r="F141" s="3"/>
    </row>
    <row r="142" spans="1:6" x14ac:dyDescent="0.25">
      <c r="A142" s="3"/>
      <c r="B142" s="67"/>
      <c r="C142" s="68"/>
      <c r="D142" s="69"/>
      <c r="E142" s="51"/>
      <c r="F142" s="3"/>
    </row>
    <row r="143" spans="1:6" x14ac:dyDescent="0.25">
      <c r="A143" s="3"/>
      <c r="B143" s="67"/>
      <c r="C143" s="68"/>
      <c r="D143" s="69"/>
      <c r="E143" s="51"/>
      <c r="F143" s="3"/>
    </row>
    <row r="144" spans="1:6" x14ac:dyDescent="0.25">
      <c r="A144" s="3"/>
      <c r="B144" s="67"/>
      <c r="C144" s="68"/>
      <c r="D144" s="69"/>
      <c r="E144" s="51"/>
      <c r="F144" s="3"/>
    </row>
    <row r="145" spans="1:6" x14ac:dyDescent="0.25">
      <c r="A145" s="3"/>
      <c r="B145" s="67"/>
      <c r="C145" s="68"/>
      <c r="D145" s="69"/>
      <c r="E145" s="51"/>
      <c r="F145" s="3"/>
    </row>
    <row r="146" spans="1:6" x14ac:dyDescent="0.25">
      <c r="A146" s="3"/>
      <c r="B146" s="67"/>
      <c r="C146" s="68"/>
      <c r="D146" s="69"/>
      <c r="E146" s="51"/>
      <c r="F146" s="3"/>
    </row>
    <row r="147" spans="1:6" x14ac:dyDescent="0.25">
      <c r="A147" s="3"/>
      <c r="B147" s="67"/>
      <c r="C147" s="68"/>
      <c r="D147" s="69"/>
      <c r="E147" s="51"/>
      <c r="F147" s="3"/>
    </row>
    <row r="148" spans="1:6" x14ac:dyDescent="0.25">
      <c r="A148" s="3"/>
      <c r="B148" s="67"/>
      <c r="C148" s="68"/>
      <c r="D148" s="69"/>
      <c r="E148" s="51"/>
      <c r="F148" s="3"/>
    </row>
    <row r="149" spans="1:6" x14ac:dyDescent="0.25">
      <c r="A149" s="3"/>
      <c r="B149" s="67"/>
      <c r="C149" s="68"/>
      <c r="D149" s="69"/>
      <c r="E149" s="51"/>
      <c r="F149" s="3"/>
    </row>
    <row r="150" spans="1:6" x14ac:dyDescent="0.25">
      <c r="A150" s="3"/>
      <c r="B150" s="67"/>
      <c r="C150" s="68"/>
      <c r="D150" s="69"/>
      <c r="E150" s="51"/>
      <c r="F150" s="3"/>
    </row>
    <row r="151" spans="1:6" x14ac:dyDescent="0.25">
      <c r="A151" s="3"/>
      <c r="B151" s="67"/>
      <c r="C151" s="68"/>
      <c r="D151" s="69"/>
      <c r="E151" s="51"/>
      <c r="F151" s="3"/>
    </row>
    <row r="152" spans="1:6" x14ac:dyDescent="0.25">
      <c r="A152" s="3"/>
      <c r="B152" s="67"/>
      <c r="C152" s="68"/>
      <c r="D152" s="69"/>
      <c r="E152" s="51"/>
      <c r="F152" s="3"/>
    </row>
    <row r="153" spans="1:6" x14ac:dyDescent="0.25">
      <c r="A153" s="3"/>
      <c r="B153" s="67"/>
      <c r="C153" s="68"/>
      <c r="D153" s="69"/>
      <c r="E153" s="51"/>
      <c r="F153" s="3"/>
    </row>
    <row r="154" spans="1:6" x14ac:dyDescent="0.25">
      <c r="A154" s="3"/>
      <c r="B154" s="67"/>
      <c r="C154" s="68"/>
      <c r="D154" s="69"/>
      <c r="E154" s="51"/>
      <c r="F154" s="3"/>
    </row>
    <row r="155" spans="1:6" x14ac:dyDescent="0.25">
      <c r="A155" s="3"/>
      <c r="B155" s="67"/>
      <c r="C155" s="68"/>
      <c r="D155" s="69"/>
      <c r="E155" s="51"/>
      <c r="F155" s="3"/>
    </row>
    <row r="156" spans="1:6" x14ac:dyDescent="0.25">
      <c r="A156" s="3"/>
      <c r="B156" s="67"/>
      <c r="C156" s="68"/>
      <c r="D156" s="69"/>
      <c r="E156" s="51"/>
      <c r="F156" s="3"/>
    </row>
    <row r="157" spans="1:6" x14ac:dyDescent="0.25">
      <c r="A157" s="3"/>
      <c r="B157" s="67"/>
      <c r="C157" s="68"/>
      <c r="D157" s="69"/>
      <c r="E157" s="51"/>
      <c r="F157" s="3"/>
    </row>
    <row r="158" spans="1:6" x14ac:dyDescent="0.25">
      <c r="A158" s="3"/>
      <c r="B158" s="67"/>
      <c r="C158" s="68"/>
      <c r="D158" s="69"/>
      <c r="E158" s="51"/>
      <c r="F158" s="3"/>
    </row>
    <row r="159" spans="1:6" x14ac:dyDescent="0.25">
      <c r="A159" s="3"/>
      <c r="B159" s="67"/>
      <c r="C159" s="68"/>
      <c r="D159" s="69"/>
      <c r="E159" s="51"/>
      <c r="F159" s="3"/>
    </row>
    <row r="160" spans="1:6" x14ac:dyDescent="0.25">
      <c r="A160" s="3"/>
      <c r="B160" s="67"/>
      <c r="C160" s="68"/>
      <c r="D160" s="69"/>
      <c r="E160" s="51"/>
      <c r="F160" s="3"/>
    </row>
    <row r="161" spans="1:6" x14ac:dyDescent="0.25">
      <c r="A161" s="3"/>
      <c r="B161" s="67"/>
      <c r="C161" s="68"/>
      <c r="D161" s="69"/>
      <c r="E161" s="51"/>
      <c r="F161" s="3"/>
    </row>
    <row r="162" spans="1:6" x14ac:dyDescent="0.25">
      <c r="A162" s="3"/>
      <c r="B162" s="67"/>
      <c r="C162" s="68"/>
      <c r="D162" s="69"/>
      <c r="E162" s="51"/>
      <c r="F162" s="3"/>
    </row>
    <row r="163" spans="1:6" x14ac:dyDescent="0.25">
      <c r="A163" s="3"/>
      <c r="B163" s="67"/>
      <c r="C163" s="68"/>
      <c r="D163" s="69"/>
      <c r="E163" s="51"/>
      <c r="F163" s="3"/>
    </row>
    <row r="164" spans="1:6" x14ac:dyDescent="0.25">
      <c r="A164" s="3"/>
      <c r="B164" s="67"/>
      <c r="C164" s="68"/>
      <c r="D164" s="69"/>
      <c r="E164" s="51"/>
      <c r="F164" s="3"/>
    </row>
    <row r="165" spans="1:6" x14ac:dyDescent="0.25">
      <c r="A165" s="3"/>
      <c r="B165" s="67"/>
      <c r="C165" s="68"/>
      <c r="D165" s="69"/>
      <c r="E165" s="51"/>
      <c r="F165" s="3"/>
    </row>
    <row r="166" spans="1:6" x14ac:dyDescent="0.25">
      <c r="A166" s="3"/>
      <c r="B166" s="67"/>
      <c r="C166" s="68"/>
      <c r="D166" s="69"/>
      <c r="E166" s="51"/>
      <c r="F166" s="3"/>
    </row>
    <row r="167" spans="1:6" x14ac:dyDescent="0.25">
      <c r="A167" s="3"/>
      <c r="B167" s="67"/>
      <c r="C167" s="68"/>
      <c r="D167" s="69"/>
      <c r="E167" s="51"/>
      <c r="F167" s="3"/>
    </row>
    <row r="168" spans="1:6" x14ac:dyDescent="0.25">
      <c r="A168" s="3"/>
      <c r="B168" s="67"/>
      <c r="C168" s="68"/>
      <c r="D168" s="69"/>
      <c r="E168" s="51"/>
      <c r="F168" s="3"/>
    </row>
    <row r="169" spans="1:6" x14ac:dyDescent="0.25">
      <c r="A169" s="3"/>
      <c r="B169" s="67"/>
      <c r="C169" s="68"/>
      <c r="D169" s="69"/>
      <c r="E169" s="51"/>
      <c r="F169" s="3"/>
    </row>
    <row r="170" spans="1:6" x14ac:dyDescent="0.25">
      <c r="A170" s="3"/>
      <c r="B170" s="67"/>
      <c r="C170" s="68"/>
      <c r="D170" s="69"/>
      <c r="E170" s="51"/>
      <c r="F170" s="3"/>
    </row>
    <row r="171" spans="1:6" x14ac:dyDescent="0.25">
      <c r="A171" s="3"/>
      <c r="B171" s="67"/>
      <c r="C171" s="68"/>
      <c r="D171" s="69"/>
      <c r="E171" s="51"/>
      <c r="F171" s="3"/>
    </row>
    <row r="172" spans="1:6" x14ac:dyDescent="0.25">
      <c r="A172" s="3"/>
      <c r="B172" s="67"/>
      <c r="C172" s="68"/>
      <c r="D172" s="69"/>
      <c r="E172" s="51"/>
      <c r="F172" s="3"/>
    </row>
    <row r="173" spans="1:6" x14ac:dyDescent="0.25">
      <c r="A173" s="3"/>
      <c r="B173" s="67"/>
      <c r="C173" s="68"/>
      <c r="D173" s="69"/>
      <c r="E173" s="51"/>
      <c r="F173" s="3"/>
    </row>
    <row r="174" spans="1:6" x14ac:dyDescent="0.25">
      <c r="A174" s="3"/>
      <c r="B174" s="67"/>
      <c r="C174" s="68"/>
      <c r="D174" s="69"/>
      <c r="E174" s="51"/>
      <c r="F174" s="3"/>
    </row>
    <row r="175" spans="1:6" x14ac:dyDescent="0.25">
      <c r="A175" s="3"/>
      <c r="B175" s="67"/>
      <c r="C175" s="68"/>
      <c r="D175" s="69"/>
      <c r="E175" s="51"/>
      <c r="F175" s="3"/>
    </row>
    <row r="176" spans="1:6" x14ac:dyDescent="0.25">
      <c r="A176" s="3"/>
      <c r="B176" s="67"/>
      <c r="C176" s="68"/>
      <c r="D176" s="69"/>
      <c r="E176" s="51"/>
      <c r="F176" s="3"/>
    </row>
    <row r="177" spans="1:6" x14ac:dyDescent="0.25">
      <c r="A177" s="3"/>
      <c r="B177" s="67"/>
      <c r="C177" s="68"/>
      <c r="D177" s="69"/>
      <c r="E177" s="51"/>
      <c r="F177" s="3"/>
    </row>
    <row r="178" spans="1:6" x14ac:dyDescent="0.25">
      <c r="A178" s="3"/>
      <c r="B178" s="67"/>
      <c r="C178" s="68"/>
      <c r="D178" s="69"/>
      <c r="E178" s="51"/>
      <c r="F178" s="3"/>
    </row>
    <row r="179" spans="1:6" x14ac:dyDescent="0.25">
      <c r="A179" s="3"/>
      <c r="B179" s="67"/>
      <c r="C179" s="68"/>
      <c r="D179" s="69"/>
      <c r="E179" s="51"/>
      <c r="F179" s="3"/>
    </row>
    <row r="180" spans="1:6" x14ac:dyDescent="0.25">
      <c r="A180" s="3"/>
      <c r="B180" s="67"/>
      <c r="C180" s="68"/>
      <c r="D180" s="69"/>
      <c r="E180" s="51"/>
      <c r="F180" s="3"/>
    </row>
    <row r="181" spans="1:6" x14ac:dyDescent="0.25">
      <c r="A181" s="3"/>
      <c r="B181" s="67"/>
      <c r="C181" s="68"/>
      <c r="D181" s="69"/>
      <c r="E181" s="51"/>
      <c r="F181" s="3"/>
    </row>
    <row r="182" spans="1:6" x14ac:dyDescent="0.25">
      <c r="A182" s="3"/>
      <c r="B182" s="67"/>
      <c r="C182" s="68"/>
      <c r="D182" s="69"/>
      <c r="E182" s="51"/>
      <c r="F182" s="3"/>
    </row>
    <row r="183" spans="1:6" x14ac:dyDescent="0.25">
      <c r="A183" s="3"/>
      <c r="B183" s="67"/>
      <c r="C183" s="68"/>
      <c r="D183" s="69"/>
      <c r="E183" s="51"/>
      <c r="F183" s="3"/>
    </row>
    <row r="184" spans="1:6" x14ac:dyDescent="0.25">
      <c r="A184" s="3"/>
      <c r="B184" s="67"/>
      <c r="C184" s="68"/>
      <c r="D184" s="69"/>
      <c r="E184" s="51"/>
      <c r="F184" s="3"/>
    </row>
    <row r="185" spans="1:6" x14ac:dyDescent="0.25">
      <c r="A185" s="3"/>
      <c r="B185" s="67"/>
      <c r="C185" s="68"/>
      <c r="D185" s="69"/>
      <c r="E185" s="51"/>
      <c r="F185" s="3"/>
    </row>
    <row r="186" spans="1:6" x14ac:dyDescent="0.25">
      <c r="A186" s="3"/>
      <c r="B186" s="67"/>
      <c r="C186" s="68"/>
      <c r="D186" s="69"/>
      <c r="E186" s="51"/>
      <c r="F186" s="3"/>
    </row>
    <row r="187" spans="1:6" x14ac:dyDescent="0.25">
      <c r="A187" s="3"/>
      <c r="B187" s="67"/>
      <c r="C187" s="68"/>
      <c r="D187" s="69"/>
      <c r="E187" s="51"/>
      <c r="F187" s="3"/>
    </row>
    <row r="188" spans="1:6" x14ac:dyDescent="0.25">
      <c r="A188" s="3"/>
      <c r="B188" s="67"/>
      <c r="C188" s="68"/>
      <c r="D188" s="69"/>
      <c r="E188" s="51"/>
      <c r="F188" s="3"/>
    </row>
    <row r="189" spans="1:6" x14ac:dyDescent="0.25">
      <c r="A189" s="3"/>
      <c r="B189" s="67"/>
      <c r="C189" s="68"/>
      <c r="D189" s="69"/>
      <c r="E189" s="51"/>
      <c r="F189" s="3"/>
    </row>
    <row r="190" spans="1:6" x14ac:dyDescent="0.25">
      <c r="A190" s="3"/>
      <c r="B190" s="67"/>
      <c r="C190" s="68"/>
      <c r="D190" s="69"/>
      <c r="E190" s="51"/>
      <c r="F190" s="3"/>
    </row>
    <row r="191" spans="1:6" x14ac:dyDescent="0.25">
      <c r="A191" s="3"/>
      <c r="B191" s="67"/>
      <c r="C191" s="68"/>
      <c r="D191" s="69"/>
      <c r="E191" s="51"/>
      <c r="F191" s="3"/>
    </row>
    <row r="192" spans="1:6" x14ac:dyDescent="0.25">
      <c r="A192" s="3"/>
      <c r="B192" s="67"/>
      <c r="C192" s="68"/>
      <c r="D192" s="69"/>
      <c r="E192" s="51"/>
      <c r="F192" s="3"/>
    </row>
    <row r="193" spans="1:6" x14ac:dyDescent="0.25">
      <c r="A193" s="3"/>
      <c r="B193" s="67"/>
      <c r="C193" s="68"/>
      <c r="D193" s="69"/>
      <c r="E193" s="51"/>
      <c r="F193" s="3"/>
    </row>
    <row r="194" spans="1:6" x14ac:dyDescent="0.25">
      <c r="A194" s="3"/>
      <c r="B194" s="67"/>
      <c r="C194" s="68"/>
      <c r="D194" s="69"/>
      <c r="E194" s="51"/>
      <c r="F194" s="3"/>
    </row>
    <row r="195" spans="1:6" x14ac:dyDescent="0.25">
      <c r="A195" s="3"/>
      <c r="B195" s="67"/>
      <c r="C195" s="68"/>
      <c r="D195" s="69"/>
      <c r="E195" s="51"/>
      <c r="F195" s="3"/>
    </row>
    <row r="196" spans="1:6" x14ac:dyDescent="0.25">
      <c r="A196" s="3"/>
      <c r="B196" s="67"/>
      <c r="C196" s="68"/>
      <c r="D196" s="69"/>
      <c r="E196" s="51"/>
      <c r="F196" s="3"/>
    </row>
    <row r="197" spans="1:6" x14ac:dyDescent="0.25">
      <c r="A197" s="3"/>
      <c r="B197" s="67"/>
      <c r="C197" s="68"/>
      <c r="D197" s="69"/>
      <c r="E197" s="51"/>
      <c r="F197" s="3"/>
    </row>
    <row r="198" spans="1:6" x14ac:dyDescent="0.25">
      <c r="A198" s="3"/>
      <c r="B198" s="67"/>
      <c r="C198" s="68"/>
      <c r="D198" s="69"/>
      <c r="E198" s="51"/>
      <c r="F198" s="3"/>
    </row>
    <row r="199" spans="1:6" x14ac:dyDescent="0.25">
      <c r="A199" s="3"/>
      <c r="B199" s="67"/>
      <c r="C199" s="68"/>
      <c r="D199" s="69"/>
      <c r="E199" s="51"/>
      <c r="F199" s="3"/>
    </row>
    <row r="200" spans="1:6" x14ac:dyDescent="0.25">
      <c r="A200" s="3"/>
      <c r="B200" s="67"/>
      <c r="C200" s="68"/>
      <c r="D200" s="69"/>
      <c r="E200" s="51"/>
      <c r="F200" s="3"/>
    </row>
    <row r="201" spans="1:6" x14ac:dyDescent="0.25">
      <c r="A201" s="3"/>
      <c r="B201" s="67"/>
      <c r="C201" s="68"/>
      <c r="D201" s="69"/>
      <c r="E201" s="51"/>
      <c r="F201" s="3"/>
    </row>
    <row r="202" spans="1:6" x14ac:dyDescent="0.25">
      <c r="A202" s="3"/>
      <c r="B202" s="67"/>
      <c r="C202" s="68"/>
      <c r="D202" s="69"/>
      <c r="E202" s="51"/>
      <c r="F202" s="3"/>
    </row>
    <row r="203" spans="1:6" x14ac:dyDescent="0.25">
      <c r="A203" s="3"/>
      <c r="B203" s="67"/>
      <c r="C203" s="68"/>
      <c r="D203" s="69"/>
      <c r="E203" s="51"/>
      <c r="F203" s="3"/>
    </row>
    <row r="204" spans="1:6" x14ac:dyDescent="0.25">
      <c r="A204" s="3"/>
      <c r="B204" s="67"/>
      <c r="C204" s="68"/>
      <c r="D204" s="69"/>
      <c r="E204" s="51"/>
      <c r="F204" s="3"/>
    </row>
    <row r="205" spans="1:6" x14ac:dyDescent="0.25">
      <c r="A205" s="3"/>
      <c r="B205" s="67"/>
      <c r="C205" s="68"/>
      <c r="D205" s="69"/>
      <c r="E205" s="51"/>
      <c r="F205" s="3"/>
    </row>
    <row r="206" spans="1:6" x14ac:dyDescent="0.25">
      <c r="A206" s="3"/>
      <c r="B206" s="67"/>
      <c r="C206" s="68"/>
      <c r="D206" s="69"/>
      <c r="E206" s="51"/>
      <c r="F206" s="3"/>
    </row>
    <row r="207" spans="1:6" x14ac:dyDescent="0.25">
      <c r="A207" s="3"/>
      <c r="B207" s="67"/>
      <c r="C207" s="68"/>
      <c r="D207" s="69"/>
      <c r="E207" s="51"/>
      <c r="F207" s="3"/>
    </row>
    <row r="208" spans="1:6" x14ac:dyDescent="0.25">
      <c r="A208" s="3"/>
      <c r="B208" s="67"/>
      <c r="C208" s="68"/>
      <c r="D208" s="69"/>
      <c r="E208" s="51"/>
      <c r="F208" s="3"/>
    </row>
    <row r="209" spans="1:6" x14ac:dyDescent="0.25">
      <c r="A209" s="3"/>
      <c r="B209" s="67"/>
      <c r="C209" s="68"/>
      <c r="D209" s="69"/>
      <c r="E209" s="51"/>
      <c r="F209" s="3"/>
    </row>
    <row r="210" spans="1:6" x14ac:dyDescent="0.25">
      <c r="A210" s="3"/>
      <c r="B210" s="67"/>
      <c r="C210" s="68"/>
      <c r="D210" s="69"/>
      <c r="E210" s="51"/>
      <c r="F210" s="3"/>
    </row>
    <row r="211" spans="1:6" x14ac:dyDescent="0.25">
      <c r="A211" s="3"/>
      <c r="B211" s="67"/>
      <c r="C211" s="68"/>
      <c r="D211" s="69"/>
      <c r="E211" s="51"/>
      <c r="F211" s="3"/>
    </row>
    <row r="212" spans="1:6" x14ac:dyDescent="0.25">
      <c r="A212" s="3"/>
      <c r="B212" s="67"/>
      <c r="C212" s="68"/>
      <c r="D212" s="69"/>
      <c r="E212" s="51"/>
      <c r="F212" s="3"/>
    </row>
    <row r="213" spans="1:6" x14ac:dyDescent="0.25">
      <c r="A213" s="3"/>
      <c r="B213" s="67"/>
      <c r="C213" s="68"/>
      <c r="D213" s="69"/>
      <c r="E213" s="51"/>
      <c r="F213" s="3"/>
    </row>
    <row r="214" spans="1:6" x14ac:dyDescent="0.25">
      <c r="A214" s="3"/>
      <c r="B214" s="67"/>
      <c r="C214" s="68"/>
      <c r="D214" s="69"/>
      <c r="E214" s="51"/>
      <c r="F214" s="3"/>
    </row>
    <row r="215" spans="1:6" x14ac:dyDescent="0.25">
      <c r="A215" s="3"/>
      <c r="B215" s="67"/>
      <c r="C215" s="68"/>
      <c r="D215" s="69"/>
      <c r="E215" s="51"/>
      <c r="F215" s="3"/>
    </row>
    <row r="216" spans="1:6" x14ac:dyDescent="0.25">
      <c r="A216" s="3"/>
      <c r="B216" s="67"/>
      <c r="C216" s="68"/>
      <c r="D216" s="69"/>
      <c r="E216" s="51"/>
      <c r="F216" s="3"/>
    </row>
    <row r="217" spans="1:6" x14ac:dyDescent="0.25">
      <c r="A217" s="3"/>
      <c r="B217" s="67"/>
      <c r="C217" s="68"/>
      <c r="D217" s="69"/>
      <c r="E217" s="51"/>
      <c r="F217" s="3"/>
    </row>
    <row r="218" spans="1:6" x14ac:dyDescent="0.25">
      <c r="A218" s="3"/>
      <c r="B218" s="67"/>
      <c r="C218" s="68"/>
      <c r="D218" s="69"/>
      <c r="E218" s="51"/>
      <c r="F218" s="3"/>
    </row>
    <row r="219" spans="1:6" x14ac:dyDescent="0.25">
      <c r="A219" s="3"/>
      <c r="B219" s="67"/>
      <c r="C219" s="68"/>
      <c r="D219" s="69"/>
      <c r="E219" s="51"/>
      <c r="F219" s="3"/>
    </row>
    <row r="220" spans="1:6" x14ac:dyDescent="0.25">
      <c r="A220" s="3"/>
      <c r="B220" s="67"/>
      <c r="C220" s="68"/>
      <c r="D220" s="69"/>
      <c r="E220" s="51"/>
      <c r="F220" s="3"/>
    </row>
    <row r="221" spans="1:6" x14ac:dyDescent="0.25">
      <c r="A221" s="3"/>
      <c r="B221" s="67"/>
      <c r="C221" s="68"/>
      <c r="D221" s="69"/>
      <c r="E221" s="51"/>
      <c r="F221" s="3"/>
    </row>
    <row r="222" spans="1:6" x14ac:dyDescent="0.25">
      <c r="A222" s="3"/>
      <c r="B222" s="67"/>
      <c r="C222" s="68"/>
      <c r="D222" s="69"/>
      <c r="E222" s="51"/>
      <c r="F222" s="3"/>
    </row>
    <row r="223" spans="1:6" x14ac:dyDescent="0.25">
      <c r="A223" s="3"/>
      <c r="B223" s="67"/>
      <c r="C223" s="68"/>
      <c r="D223" s="69"/>
      <c r="E223" s="51"/>
      <c r="F223" s="3"/>
    </row>
    <row r="224" spans="1:6" x14ac:dyDescent="0.25">
      <c r="A224" s="3"/>
      <c r="B224" s="67"/>
      <c r="C224" s="68"/>
      <c r="D224" s="69"/>
      <c r="E224" s="51"/>
      <c r="F224" s="3"/>
    </row>
    <row r="225" spans="1:6" x14ac:dyDescent="0.25">
      <c r="A225" s="3"/>
      <c r="B225" s="67"/>
      <c r="C225" s="68"/>
      <c r="D225" s="69"/>
      <c r="E225" s="51"/>
      <c r="F225" s="3"/>
    </row>
    <row r="226" spans="1:6" x14ac:dyDescent="0.25">
      <c r="A226" s="3"/>
      <c r="B226" s="67"/>
      <c r="C226" s="68"/>
      <c r="D226" s="69"/>
      <c r="E226" s="51"/>
      <c r="F226" s="3"/>
    </row>
    <row r="227" spans="1:6" x14ac:dyDescent="0.25">
      <c r="A227" s="3"/>
      <c r="B227" s="67"/>
      <c r="C227" s="68"/>
      <c r="D227" s="69"/>
      <c r="E227" s="51"/>
      <c r="F227" s="3"/>
    </row>
    <row r="228" spans="1:6" x14ac:dyDescent="0.25">
      <c r="A228" s="3"/>
      <c r="B228" s="67"/>
      <c r="C228" s="68"/>
      <c r="D228" s="69"/>
      <c r="E228" s="51"/>
      <c r="F228" s="3"/>
    </row>
    <row r="229" spans="1:6" x14ac:dyDescent="0.25">
      <c r="A229" s="3"/>
      <c r="B229" s="67"/>
      <c r="C229" s="68"/>
      <c r="D229" s="69"/>
      <c r="E229" s="51"/>
      <c r="F229" s="3"/>
    </row>
    <row r="230" spans="1:6" x14ac:dyDescent="0.25">
      <c r="A230" s="3"/>
      <c r="B230" s="67"/>
      <c r="C230" s="68"/>
      <c r="D230" s="69"/>
      <c r="E230" s="51"/>
      <c r="F230" s="3"/>
    </row>
    <row r="231" spans="1:6" x14ac:dyDescent="0.25">
      <c r="A231" s="3"/>
      <c r="B231" s="67"/>
      <c r="C231" s="68"/>
      <c r="D231" s="69"/>
      <c r="E231" s="51"/>
      <c r="F231" s="3"/>
    </row>
    <row r="232" spans="1:6" x14ac:dyDescent="0.25">
      <c r="A232" s="3"/>
      <c r="B232" s="67"/>
      <c r="C232" s="68"/>
      <c r="D232" s="69"/>
      <c r="E232" s="51"/>
      <c r="F232" s="3"/>
    </row>
    <row r="233" spans="1:6" x14ac:dyDescent="0.25">
      <c r="A233" s="3"/>
      <c r="B233" s="67"/>
      <c r="C233" s="68"/>
      <c r="D233" s="69"/>
      <c r="E233" s="51"/>
      <c r="F233" s="3"/>
    </row>
    <row r="234" spans="1:6" x14ac:dyDescent="0.25">
      <c r="A234" s="3"/>
      <c r="B234" s="67"/>
      <c r="C234" s="68"/>
      <c r="D234" s="69"/>
      <c r="E234" s="51"/>
      <c r="F234" s="3"/>
    </row>
    <row r="235" spans="1:6" x14ac:dyDescent="0.25">
      <c r="A235" s="3"/>
      <c r="B235" s="67"/>
      <c r="C235" s="68"/>
      <c r="D235" s="69"/>
      <c r="E235" s="51"/>
      <c r="F235" s="3"/>
    </row>
    <row r="236" spans="1:6" x14ac:dyDescent="0.25">
      <c r="A236" s="3"/>
      <c r="B236" s="67"/>
      <c r="C236" s="68"/>
      <c r="D236" s="69"/>
      <c r="E236" s="51"/>
      <c r="F236" s="3"/>
    </row>
    <row r="237" spans="1:6" x14ac:dyDescent="0.25">
      <c r="A237" s="3"/>
      <c r="B237" s="67"/>
      <c r="C237" s="68"/>
      <c r="D237" s="69"/>
      <c r="E237" s="51"/>
      <c r="F237" s="3"/>
    </row>
    <row r="238" spans="1:6" x14ac:dyDescent="0.25">
      <c r="A238" s="3"/>
      <c r="B238" s="67"/>
      <c r="C238" s="68"/>
      <c r="D238" s="69"/>
      <c r="E238" s="51"/>
      <c r="F238" s="3"/>
    </row>
    <row r="239" spans="1:6" x14ac:dyDescent="0.25">
      <c r="A239" s="3"/>
      <c r="B239" s="67"/>
      <c r="C239" s="68"/>
      <c r="D239" s="69"/>
      <c r="E239" s="51"/>
      <c r="F239" s="3"/>
    </row>
    <row r="240" spans="1:6" x14ac:dyDescent="0.25">
      <c r="A240" s="3"/>
      <c r="B240" s="67"/>
      <c r="C240" s="68"/>
      <c r="D240" s="69"/>
      <c r="E240" s="51"/>
      <c r="F240" s="3"/>
    </row>
    <row r="241" spans="1:6" x14ac:dyDescent="0.25">
      <c r="A241" s="3"/>
      <c r="B241" s="67"/>
      <c r="C241" s="68"/>
      <c r="D241" s="69"/>
      <c r="E241" s="51"/>
      <c r="F241" s="3"/>
    </row>
    <row r="242" spans="1:6" x14ac:dyDescent="0.25">
      <c r="A242" s="3"/>
      <c r="B242" s="67"/>
      <c r="C242" s="68"/>
      <c r="D242" s="69"/>
      <c r="E242" s="51"/>
      <c r="F242" s="3"/>
    </row>
    <row r="243" spans="1:6" x14ac:dyDescent="0.25">
      <c r="A243" s="3"/>
      <c r="B243" s="67"/>
      <c r="C243" s="68"/>
      <c r="D243" s="69"/>
      <c r="E243" s="51"/>
      <c r="F243" s="3"/>
    </row>
    <row r="244" spans="1:6" x14ac:dyDescent="0.25">
      <c r="A244" s="3"/>
      <c r="B244" s="67"/>
      <c r="C244" s="68"/>
      <c r="D244" s="69"/>
      <c r="E244" s="51"/>
      <c r="F244" s="3"/>
    </row>
    <row r="245" spans="1:6" x14ac:dyDescent="0.25">
      <c r="A245" s="3"/>
      <c r="B245" s="67"/>
      <c r="C245" s="68"/>
      <c r="D245" s="69"/>
      <c r="E245" s="51"/>
      <c r="F245" s="3"/>
    </row>
    <row r="246" spans="1:6" x14ac:dyDescent="0.25">
      <c r="A246" s="3"/>
      <c r="B246" s="67"/>
      <c r="C246" s="68"/>
      <c r="D246" s="69"/>
      <c r="E246" s="51"/>
      <c r="F246" s="3"/>
    </row>
    <row r="247" spans="1:6" x14ac:dyDescent="0.25">
      <c r="A247" s="3"/>
      <c r="B247" s="67"/>
      <c r="C247" s="68"/>
      <c r="D247" s="69"/>
      <c r="E247" s="51"/>
      <c r="F247" s="3"/>
    </row>
    <row r="248" spans="1:6" x14ac:dyDescent="0.25">
      <c r="A248" s="3"/>
      <c r="B248" s="67"/>
      <c r="C248" s="68"/>
      <c r="D248" s="69"/>
      <c r="E248" s="51"/>
      <c r="F248" s="3"/>
    </row>
    <row r="249" spans="1:6" x14ac:dyDescent="0.25">
      <c r="A249" s="3"/>
      <c r="B249" s="67"/>
      <c r="C249" s="68"/>
      <c r="D249" s="69"/>
      <c r="E249" s="51"/>
      <c r="F249" s="3"/>
    </row>
    <row r="250" spans="1:6" x14ac:dyDescent="0.25">
      <c r="A250" s="3"/>
      <c r="B250" s="67"/>
      <c r="C250" s="68"/>
      <c r="D250" s="69"/>
      <c r="E250" s="51"/>
      <c r="F250" s="3"/>
    </row>
    <row r="251" spans="1:6" x14ac:dyDescent="0.25">
      <c r="A251" s="3"/>
      <c r="B251" s="67"/>
      <c r="C251" s="68"/>
      <c r="D251" s="69"/>
      <c r="E251" s="51"/>
      <c r="F251" s="3"/>
    </row>
    <row r="252" spans="1:6" x14ac:dyDescent="0.25">
      <c r="A252" s="3"/>
      <c r="B252" s="67"/>
      <c r="C252" s="68"/>
      <c r="D252" s="69"/>
      <c r="E252" s="51"/>
      <c r="F252" s="3"/>
    </row>
    <row r="253" spans="1:6" x14ac:dyDescent="0.25">
      <c r="A253" s="3"/>
      <c r="B253" s="67"/>
      <c r="C253" s="68"/>
      <c r="D253" s="69"/>
      <c r="E253" s="51"/>
      <c r="F253" s="3"/>
    </row>
    <row r="254" spans="1:6" x14ac:dyDescent="0.25">
      <c r="A254" s="3"/>
      <c r="B254" s="67"/>
      <c r="C254" s="68"/>
      <c r="D254" s="69"/>
      <c r="E254" s="51"/>
      <c r="F254" s="3"/>
    </row>
    <row r="255" spans="1:6" x14ac:dyDescent="0.25">
      <c r="A255" s="3"/>
      <c r="B255" s="67"/>
      <c r="C255" s="68"/>
      <c r="D255" s="69"/>
      <c r="E255" s="51"/>
      <c r="F255" s="3"/>
    </row>
    <row r="256" spans="1:6" x14ac:dyDescent="0.25">
      <c r="A256" s="3"/>
      <c r="B256" s="67"/>
      <c r="C256" s="68"/>
      <c r="D256" s="69"/>
      <c r="E256" s="51"/>
      <c r="F256" s="3"/>
    </row>
    <row r="257" spans="1:6" x14ac:dyDescent="0.25">
      <c r="A257" s="3"/>
      <c r="B257" s="67"/>
      <c r="C257" s="68"/>
      <c r="D257" s="69"/>
      <c r="E257" s="51"/>
      <c r="F257" s="3"/>
    </row>
    <row r="258" spans="1:6" x14ac:dyDescent="0.25">
      <c r="A258" s="3"/>
      <c r="B258" s="67"/>
      <c r="C258" s="68"/>
      <c r="D258" s="69"/>
      <c r="E258" s="51"/>
      <c r="F258" s="3"/>
    </row>
    <row r="259" spans="1:6" x14ac:dyDescent="0.25">
      <c r="A259" s="3"/>
      <c r="B259" s="67"/>
      <c r="C259" s="68"/>
      <c r="D259" s="69"/>
      <c r="E259" s="51"/>
      <c r="F259" s="3"/>
    </row>
    <row r="260" spans="1:6" x14ac:dyDescent="0.25">
      <c r="A260" s="3"/>
      <c r="B260" s="67"/>
      <c r="C260" s="68"/>
      <c r="D260" s="69"/>
      <c r="E260" s="51"/>
      <c r="F260" s="3"/>
    </row>
    <row r="261" spans="1:6" x14ac:dyDescent="0.25">
      <c r="A261" s="3"/>
      <c r="B261" s="67"/>
      <c r="C261" s="68"/>
      <c r="D261" s="69"/>
      <c r="E261" s="51"/>
      <c r="F261" s="3"/>
    </row>
    <row r="262" spans="1:6" x14ac:dyDescent="0.25">
      <c r="A262" s="3"/>
      <c r="B262" s="67"/>
      <c r="C262" s="68"/>
      <c r="D262" s="69"/>
      <c r="E262" s="51"/>
      <c r="F262" s="3"/>
    </row>
    <row r="263" spans="1:6" x14ac:dyDescent="0.25">
      <c r="A263" s="3"/>
      <c r="B263" s="67"/>
      <c r="C263" s="68"/>
      <c r="D263" s="69"/>
      <c r="E263" s="51"/>
      <c r="F263" s="3"/>
    </row>
    <row r="264" spans="1:6" x14ac:dyDescent="0.25">
      <c r="A264" s="3"/>
      <c r="B264" s="67"/>
      <c r="C264" s="68"/>
      <c r="D264" s="69"/>
      <c r="E264" s="51"/>
      <c r="F264" s="3"/>
    </row>
    <row r="265" spans="1:6" x14ac:dyDescent="0.25">
      <c r="A265" s="3"/>
      <c r="B265" s="67"/>
      <c r="C265" s="68"/>
      <c r="D265" s="69"/>
      <c r="E265" s="51"/>
      <c r="F265" s="3"/>
    </row>
    <row r="266" spans="1:6" x14ac:dyDescent="0.25">
      <c r="A266" s="3"/>
      <c r="B266" s="67"/>
      <c r="C266" s="68"/>
      <c r="D266" s="69"/>
      <c r="E266" s="51"/>
      <c r="F266" s="3"/>
    </row>
    <row r="267" spans="1:6" x14ac:dyDescent="0.25">
      <c r="A267" s="3"/>
      <c r="B267" s="67"/>
      <c r="C267" s="68"/>
      <c r="D267" s="69"/>
      <c r="E267" s="51"/>
      <c r="F267" s="3"/>
    </row>
    <row r="268" spans="1:6" x14ac:dyDescent="0.25">
      <c r="A268" s="3"/>
      <c r="B268" s="67"/>
      <c r="C268" s="68"/>
      <c r="D268" s="69"/>
      <c r="E268" s="51"/>
      <c r="F268" s="3"/>
    </row>
    <row r="269" spans="1:6" x14ac:dyDescent="0.25">
      <c r="A269" s="3"/>
      <c r="B269" s="67"/>
      <c r="C269" s="68"/>
      <c r="D269" s="69"/>
      <c r="E269" s="51"/>
      <c r="F269" s="3"/>
    </row>
    <row r="270" spans="1:6" x14ac:dyDescent="0.25">
      <c r="A270" s="3"/>
      <c r="B270" s="67"/>
      <c r="C270" s="68"/>
      <c r="D270" s="69"/>
      <c r="E270" s="51"/>
      <c r="F270" s="3"/>
    </row>
    <row r="271" spans="1:6" x14ac:dyDescent="0.25">
      <c r="A271" s="3"/>
      <c r="B271" s="67"/>
      <c r="C271" s="68"/>
      <c r="D271" s="69"/>
      <c r="E271" s="51"/>
      <c r="F271" s="3"/>
    </row>
    <row r="272" spans="1:6" x14ac:dyDescent="0.25">
      <c r="A272" s="3"/>
      <c r="B272" s="67"/>
      <c r="C272" s="68"/>
      <c r="D272" s="69"/>
      <c r="E272" s="51"/>
      <c r="F272" s="3"/>
    </row>
    <row r="273" spans="1:6" x14ac:dyDescent="0.25">
      <c r="A273" s="3"/>
      <c r="B273" s="67"/>
      <c r="C273" s="68"/>
      <c r="D273" s="69"/>
      <c r="E273" s="51"/>
      <c r="F273" s="3"/>
    </row>
    <row r="274" spans="1:6" x14ac:dyDescent="0.25">
      <c r="A274" s="3"/>
      <c r="B274" s="67"/>
      <c r="C274" s="68"/>
      <c r="D274" s="69"/>
      <c r="E274" s="51"/>
      <c r="F274" s="3"/>
    </row>
    <row r="275" spans="1:6" x14ac:dyDescent="0.25">
      <c r="A275" s="3"/>
      <c r="B275" s="67"/>
      <c r="C275" s="68"/>
      <c r="D275" s="69"/>
      <c r="E275" s="51"/>
      <c r="F275" s="3"/>
    </row>
    <row r="276" spans="1:6" x14ac:dyDescent="0.25">
      <c r="A276" s="3"/>
      <c r="B276" s="67"/>
      <c r="C276" s="68"/>
      <c r="D276" s="69"/>
      <c r="E276" s="51"/>
      <c r="F276" s="3"/>
    </row>
    <row r="277" spans="1:6" x14ac:dyDescent="0.25">
      <c r="A277" s="3"/>
      <c r="B277" s="67"/>
      <c r="C277" s="68"/>
      <c r="D277" s="69"/>
      <c r="E277" s="51"/>
      <c r="F277" s="3"/>
    </row>
    <row r="278" spans="1:6" x14ac:dyDescent="0.25">
      <c r="A278" s="3"/>
      <c r="B278" s="67"/>
      <c r="C278" s="68"/>
      <c r="D278" s="69"/>
      <c r="E278" s="51"/>
      <c r="F278" s="3"/>
    </row>
    <row r="279" spans="1:6" x14ac:dyDescent="0.25">
      <c r="A279" s="3"/>
      <c r="B279" s="67"/>
      <c r="C279" s="68"/>
      <c r="D279" s="69"/>
      <c r="E279" s="51"/>
      <c r="F279" s="3"/>
    </row>
    <row r="280" spans="1:6" x14ac:dyDescent="0.25">
      <c r="A280" s="3"/>
      <c r="B280" s="67"/>
      <c r="C280" s="68"/>
      <c r="D280" s="69"/>
      <c r="E280" s="51"/>
      <c r="F280" s="3"/>
    </row>
    <row r="281" spans="1:6" x14ac:dyDescent="0.25">
      <c r="A281" s="3"/>
      <c r="B281" s="67"/>
      <c r="C281" s="68"/>
      <c r="D281" s="69"/>
      <c r="E281" s="51"/>
      <c r="F281" s="3"/>
    </row>
    <row r="282" spans="1:6" x14ac:dyDescent="0.25">
      <c r="A282" s="3"/>
      <c r="B282" s="67"/>
      <c r="C282" s="68"/>
      <c r="D282" s="69"/>
      <c r="E282" s="51"/>
      <c r="F282" s="3"/>
    </row>
    <row r="283" spans="1:6" x14ac:dyDescent="0.25">
      <c r="A283" s="3"/>
      <c r="B283" s="67"/>
      <c r="C283" s="68"/>
      <c r="D283" s="69"/>
      <c r="E283" s="51"/>
      <c r="F283" s="3"/>
    </row>
    <row r="284" spans="1:6" x14ac:dyDescent="0.25">
      <c r="A284" s="3"/>
      <c r="B284" s="67"/>
      <c r="C284" s="68"/>
      <c r="D284" s="69"/>
      <c r="E284" s="51"/>
      <c r="F284" s="3"/>
    </row>
    <row r="285" spans="1:6" x14ac:dyDescent="0.25">
      <c r="A285" s="3"/>
      <c r="B285" s="67"/>
      <c r="C285" s="68"/>
      <c r="D285" s="69"/>
      <c r="E285" s="51"/>
      <c r="F285" s="3"/>
    </row>
    <row r="286" spans="1:6" x14ac:dyDescent="0.25">
      <c r="A286" s="3"/>
      <c r="B286" s="67"/>
      <c r="C286" s="68"/>
      <c r="D286" s="69"/>
      <c r="E286" s="51"/>
      <c r="F286" s="3"/>
    </row>
    <row r="287" spans="1:6" x14ac:dyDescent="0.25">
      <c r="A287" s="3"/>
      <c r="B287" s="67"/>
      <c r="C287" s="68"/>
      <c r="D287" s="69"/>
      <c r="E287" s="51"/>
      <c r="F287" s="3"/>
    </row>
    <row r="288" spans="1:6" x14ac:dyDescent="0.25">
      <c r="A288" s="3"/>
      <c r="B288" s="67"/>
      <c r="C288" s="68"/>
      <c r="D288" s="69"/>
      <c r="E288" s="51"/>
      <c r="F288" s="3"/>
    </row>
    <row r="289" spans="1:6" x14ac:dyDescent="0.25">
      <c r="A289" s="3"/>
      <c r="B289" s="67"/>
      <c r="C289" s="68"/>
      <c r="D289" s="69"/>
      <c r="E289" s="51"/>
      <c r="F289" s="3"/>
    </row>
    <row r="290" spans="1:6" x14ac:dyDescent="0.25">
      <c r="A290" s="3"/>
      <c r="B290" s="67"/>
      <c r="C290" s="68"/>
      <c r="D290" s="69"/>
      <c r="E290" s="51"/>
      <c r="F290" s="3"/>
    </row>
    <row r="291" spans="1:6" x14ac:dyDescent="0.25">
      <c r="A291" s="3"/>
      <c r="B291" s="67"/>
      <c r="C291" s="68"/>
      <c r="D291" s="69"/>
      <c r="E291" s="51"/>
      <c r="F291" s="3"/>
    </row>
    <row r="292" spans="1:6" x14ac:dyDescent="0.25">
      <c r="A292" s="3"/>
      <c r="B292" s="67"/>
      <c r="C292" s="68"/>
      <c r="D292" s="69"/>
      <c r="E292" s="51"/>
      <c r="F292" s="3"/>
    </row>
    <row r="293" spans="1:6" x14ac:dyDescent="0.25">
      <c r="A293" s="3"/>
      <c r="B293" s="67"/>
      <c r="C293" s="68"/>
      <c r="D293" s="69"/>
      <c r="E293" s="51"/>
      <c r="F293" s="3"/>
    </row>
    <row r="294" spans="1:6" x14ac:dyDescent="0.25">
      <c r="A294" s="3"/>
      <c r="B294" s="67"/>
      <c r="C294" s="68"/>
      <c r="D294" s="69"/>
      <c r="E294" s="51"/>
      <c r="F294" s="3"/>
    </row>
    <row r="295" spans="1:6" x14ac:dyDescent="0.25">
      <c r="A295" s="3"/>
      <c r="B295" s="67"/>
      <c r="C295" s="68"/>
      <c r="D295" s="69"/>
      <c r="E295" s="51"/>
      <c r="F295" s="3"/>
    </row>
    <row r="296" spans="1:6" x14ac:dyDescent="0.25">
      <c r="A296" s="3"/>
      <c r="B296" s="67"/>
      <c r="C296" s="68"/>
      <c r="D296" s="69"/>
      <c r="E296" s="51"/>
      <c r="F296" s="3"/>
    </row>
    <row r="297" spans="1:6" x14ac:dyDescent="0.25">
      <c r="A297" s="3"/>
      <c r="B297" s="67"/>
      <c r="C297" s="68"/>
      <c r="D297" s="69"/>
      <c r="E297" s="51"/>
      <c r="F297" s="3"/>
    </row>
    <row r="298" spans="1:6" x14ac:dyDescent="0.25">
      <c r="A298" s="3"/>
      <c r="B298" s="67"/>
      <c r="C298" s="68"/>
      <c r="D298" s="69"/>
      <c r="E298" s="51"/>
      <c r="F298" s="3"/>
    </row>
    <row r="299" spans="1:6" x14ac:dyDescent="0.25">
      <c r="A299" s="3"/>
      <c r="B299" s="67"/>
      <c r="C299" s="68"/>
      <c r="D299" s="69"/>
      <c r="E299" s="51"/>
      <c r="F299" s="3"/>
    </row>
    <row r="300" spans="1:6" x14ac:dyDescent="0.25">
      <c r="A300" s="3"/>
      <c r="B300" s="67"/>
      <c r="C300" s="68"/>
      <c r="D300" s="69"/>
      <c r="E300" s="51"/>
      <c r="F300" s="3"/>
    </row>
    <row r="301" spans="1:6" x14ac:dyDescent="0.25">
      <c r="A301" s="3"/>
      <c r="B301" s="67"/>
      <c r="C301" s="68"/>
      <c r="D301" s="69"/>
      <c r="E301" s="51"/>
      <c r="F301" s="3"/>
    </row>
    <row r="302" spans="1:6" x14ac:dyDescent="0.25">
      <c r="A302" s="3"/>
      <c r="B302" s="67"/>
      <c r="C302" s="68"/>
      <c r="D302" s="69"/>
      <c r="E302" s="51"/>
      <c r="F302" s="3"/>
    </row>
    <row r="303" spans="1:6" x14ac:dyDescent="0.25">
      <c r="A303" s="3"/>
      <c r="B303" s="67"/>
      <c r="C303" s="68"/>
      <c r="D303" s="69"/>
      <c r="E303" s="51"/>
      <c r="F303" s="3"/>
    </row>
    <row r="304" spans="1:6" x14ac:dyDescent="0.25">
      <c r="A304" s="3"/>
      <c r="B304" s="67"/>
      <c r="C304" s="68"/>
      <c r="D304" s="69"/>
      <c r="E304" s="51"/>
      <c r="F304" s="3"/>
    </row>
    <row r="305" spans="1:6" x14ac:dyDescent="0.25">
      <c r="A305" s="3"/>
      <c r="B305" s="67"/>
      <c r="C305" s="68"/>
      <c r="D305" s="69"/>
      <c r="E305" s="51"/>
      <c r="F305" s="3"/>
    </row>
    <row r="306" spans="1:6" x14ac:dyDescent="0.25">
      <c r="A306" s="3"/>
      <c r="B306" s="67"/>
      <c r="C306" s="68"/>
      <c r="D306" s="69"/>
      <c r="E306" s="51"/>
      <c r="F306" s="3"/>
    </row>
    <row r="307" spans="1:6" x14ac:dyDescent="0.25">
      <c r="A307" s="3"/>
      <c r="B307" s="67"/>
      <c r="C307" s="68"/>
      <c r="D307" s="69"/>
      <c r="E307" s="51"/>
      <c r="F307" s="3"/>
    </row>
    <row r="308" spans="1:6" x14ac:dyDescent="0.25">
      <c r="A308" s="3"/>
      <c r="B308" s="67"/>
      <c r="C308" s="68"/>
      <c r="D308" s="69"/>
      <c r="E308" s="51"/>
      <c r="F308" s="3"/>
    </row>
    <row r="309" spans="1:6" x14ac:dyDescent="0.25">
      <c r="A309" s="3"/>
      <c r="B309" s="67"/>
      <c r="C309" s="68"/>
      <c r="D309" s="69"/>
      <c r="E309" s="51"/>
      <c r="F309" s="3"/>
    </row>
    <row r="310" spans="1:6" x14ac:dyDescent="0.25">
      <c r="A310" s="3"/>
      <c r="B310" s="67"/>
      <c r="C310" s="68"/>
      <c r="D310" s="69"/>
      <c r="E310" s="51"/>
      <c r="F310" s="3"/>
    </row>
    <row r="311" spans="1:6" x14ac:dyDescent="0.25">
      <c r="A311" s="3"/>
      <c r="B311" s="67"/>
      <c r="C311" s="68"/>
      <c r="D311" s="69"/>
      <c r="E311" s="51"/>
      <c r="F311" s="3"/>
    </row>
    <row r="312" spans="1:6" x14ac:dyDescent="0.25">
      <c r="A312" s="3"/>
      <c r="B312" s="67"/>
      <c r="C312" s="68"/>
      <c r="D312" s="69"/>
      <c r="E312" s="51"/>
      <c r="F312" s="3"/>
    </row>
    <row r="313" spans="1:6" x14ac:dyDescent="0.25">
      <c r="A313" s="3"/>
      <c r="B313" s="67"/>
      <c r="C313" s="68"/>
      <c r="D313" s="69"/>
      <c r="E313" s="51"/>
      <c r="F313" s="3"/>
    </row>
    <row r="314" spans="1:6" x14ac:dyDescent="0.25">
      <c r="A314" s="3"/>
      <c r="B314" s="67"/>
      <c r="C314" s="68"/>
      <c r="D314" s="69"/>
      <c r="E314" s="51"/>
      <c r="F314" s="3"/>
    </row>
    <row r="315" spans="1:6" x14ac:dyDescent="0.25">
      <c r="A315" s="3"/>
      <c r="B315" s="67"/>
      <c r="C315" s="68"/>
      <c r="D315" s="69"/>
      <c r="E315" s="51"/>
      <c r="F315" s="3"/>
    </row>
    <row r="316" spans="1:6" x14ac:dyDescent="0.25">
      <c r="A316" s="3"/>
      <c r="B316" s="67"/>
      <c r="C316" s="68"/>
      <c r="D316" s="69"/>
      <c r="E316" s="51"/>
      <c r="F316" s="3"/>
    </row>
    <row r="317" spans="1:6" x14ac:dyDescent="0.25">
      <c r="A317" s="3"/>
      <c r="B317" s="67"/>
      <c r="C317" s="68"/>
      <c r="D317" s="69"/>
      <c r="E317" s="51"/>
      <c r="F317" s="3"/>
    </row>
    <row r="318" spans="1:6" x14ac:dyDescent="0.25">
      <c r="A318" s="3"/>
      <c r="B318" s="67"/>
      <c r="C318" s="68"/>
      <c r="D318" s="69"/>
      <c r="E318" s="51"/>
      <c r="F318" s="3"/>
    </row>
    <row r="319" spans="1:6" x14ac:dyDescent="0.25">
      <c r="A319" s="3"/>
      <c r="B319" s="67"/>
      <c r="C319" s="68"/>
      <c r="D319" s="69"/>
      <c r="E319" s="51"/>
      <c r="F319" s="3"/>
    </row>
    <row r="320" spans="1:6" x14ac:dyDescent="0.25">
      <c r="A320" s="3"/>
      <c r="B320" s="67"/>
      <c r="C320" s="68"/>
      <c r="D320" s="69"/>
      <c r="E320" s="51"/>
      <c r="F320" s="3"/>
    </row>
    <row r="321" spans="1:6" x14ac:dyDescent="0.25">
      <c r="A321" s="3"/>
      <c r="B321" s="67"/>
      <c r="C321" s="68"/>
      <c r="D321" s="69"/>
      <c r="E321" s="51"/>
      <c r="F321" s="3"/>
    </row>
    <row r="322" spans="1:6" x14ac:dyDescent="0.25">
      <c r="A322" s="3"/>
      <c r="B322" s="67"/>
      <c r="C322" s="68"/>
      <c r="D322" s="69"/>
      <c r="E322" s="51"/>
      <c r="F322" s="3"/>
    </row>
    <row r="323" spans="1:6" x14ac:dyDescent="0.25">
      <c r="A323" s="3"/>
      <c r="B323" s="67"/>
      <c r="C323" s="68"/>
      <c r="D323" s="69"/>
      <c r="E323" s="51"/>
      <c r="F323" s="3"/>
    </row>
    <row r="324" spans="1:6" x14ac:dyDescent="0.25">
      <c r="A324" s="3"/>
      <c r="B324" s="67"/>
      <c r="C324" s="68"/>
      <c r="D324" s="69"/>
      <c r="E324" s="51"/>
      <c r="F324" s="3"/>
    </row>
    <row r="325" spans="1:6" x14ac:dyDescent="0.25">
      <c r="A325" s="3"/>
      <c r="B325" s="67"/>
      <c r="C325" s="68"/>
      <c r="D325" s="69"/>
      <c r="E325" s="51"/>
      <c r="F325" s="3"/>
    </row>
    <row r="326" spans="1:6" x14ac:dyDescent="0.25">
      <c r="A326" s="3"/>
      <c r="B326" s="67"/>
      <c r="C326" s="68"/>
      <c r="D326" s="69"/>
      <c r="E326" s="51"/>
      <c r="F326" s="3"/>
    </row>
    <row r="327" spans="1:6" x14ac:dyDescent="0.25">
      <c r="A327" s="3"/>
      <c r="B327" s="67"/>
      <c r="C327" s="68"/>
      <c r="D327" s="69"/>
      <c r="E327" s="51"/>
      <c r="F327" s="3"/>
    </row>
    <row r="328" spans="1:6" x14ac:dyDescent="0.25">
      <c r="A328" s="3"/>
      <c r="B328" s="67"/>
      <c r="C328" s="68"/>
      <c r="D328" s="69"/>
      <c r="E328" s="51"/>
      <c r="F328" s="3"/>
    </row>
    <row r="329" spans="1:6" x14ac:dyDescent="0.25">
      <c r="A329" s="3"/>
      <c r="B329" s="67"/>
      <c r="C329" s="68"/>
      <c r="D329" s="69"/>
      <c r="E329" s="51"/>
      <c r="F329" s="3"/>
    </row>
    <row r="330" spans="1:6" x14ac:dyDescent="0.25">
      <c r="A330" s="3"/>
      <c r="B330" s="67"/>
      <c r="C330" s="68"/>
      <c r="D330" s="69"/>
      <c r="E330" s="51"/>
      <c r="F330" s="3"/>
    </row>
    <row r="331" spans="1:6" x14ac:dyDescent="0.25">
      <c r="A331" s="3"/>
      <c r="B331" s="67"/>
      <c r="C331" s="68"/>
      <c r="D331" s="69"/>
      <c r="E331" s="51"/>
      <c r="F331" s="3"/>
    </row>
    <row r="332" spans="1:6" x14ac:dyDescent="0.25">
      <c r="A332" s="3"/>
      <c r="B332" s="67"/>
      <c r="C332" s="68"/>
      <c r="D332" s="69"/>
      <c r="E332" s="51"/>
      <c r="F332" s="3"/>
    </row>
    <row r="333" spans="1:6" x14ac:dyDescent="0.25">
      <c r="A333" s="3"/>
      <c r="B333" s="67"/>
      <c r="C333" s="68"/>
      <c r="D333" s="69"/>
      <c r="E333" s="51"/>
      <c r="F333" s="3"/>
    </row>
    <row r="334" spans="1:6" x14ac:dyDescent="0.25">
      <c r="A334" s="3"/>
      <c r="B334" s="67"/>
      <c r="C334" s="68"/>
      <c r="D334" s="69"/>
      <c r="E334" s="51"/>
      <c r="F334" s="3"/>
    </row>
    <row r="335" spans="1:6" x14ac:dyDescent="0.25">
      <c r="A335" s="3"/>
      <c r="B335" s="67"/>
      <c r="C335" s="68"/>
      <c r="D335" s="69"/>
      <c r="E335" s="51"/>
      <c r="F335" s="3"/>
    </row>
    <row r="336" spans="1:6" x14ac:dyDescent="0.25">
      <c r="A336" s="3"/>
      <c r="B336" s="67"/>
      <c r="C336" s="68"/>
      <c r="D336" s="69"/>
      <c r="E336" s="51"/>
      <c r="F336" s="3"/>
    </row>
    <row r="337" spans="1:6" x14ac:dyDescent="0.25">
      <c r="A337" s="3"/>
      <c r="B337" s="67"/>
      <c r="C337" s="68"/>
      <c r="D337" s="69"/>
      <c r="E337" s="51"/>
      <c r="F337" s="3"/>
    </row>
    <row r="338" spans="1:6" x14ac:dyDescent="0.25">
      <c r="A338" s="3"/>
      <c r="B338" s="67"/>
      <c r="C338" s="68"/>
      <c r="D338" s="69"/>
      <c r="E338" s="51"/>
      <c r="F338" s="3"/>
    </row>
    <row r="339" spans="1:6" x14ac:dyDescent="0.25">
      <c r="A339" s="3"/>
      <c r="B339" s="67"/>
      <c r="C339" s="68"/>
      <c r="D339" s="69"/>
      <c r="E339" s="51"/>
      <c r="F339" s="3"/>
    </row>
    <row r="340" spans="1:6" x14ac:dyDescent="0.25">
      <c r="A340" s="3"/>
      <c r="B340" s="67"/>
      <c r="C340" s="68"/>
      <c r="D340" s="69"/>
      <c r="E340" s="51"/>
      <c r="F340" s="3"/>
    </row>
    <row r="341" spans="1:6" x14ac:dyDescent="0.25">
      <c r="A341" s="3"/>
      <c r="B341" s="67"/>
      <c r="C341" s="68"/>
      <c r="D341" s="69"/>
      <c r="E341" s="51"/>
      <c r="F341" s="3"/>
    </row>
    <row r="342" spans="1:6" x14ac:dyDescent="0.25">
      <c r="A342" s="3"/>
      <c r="B342" s="67"/>
      <c r="C342" s="68"/>
      <c r="D342" s="69"/>
      <c r="E342" s="51"/>
      <c r="F342" s="3"/>
    </row>
    <row r="343" spans="1:6" x14ac:dyDescent="0.25">
      <c r="A343" s="3"/>
      <c r="B343" s="67"/>
      <c r="C343" s="68"/>
      <c r="D343" s="69"/>
      <c r="E343" s="51"/>
      <c r="F343" s="3"/>
    </row>
    <row r="344" spans="1:6" x14ac:dyDescent="0.25">
      <c r="A344" s="3"/>
      <c r="B344" s="67"/>
      <c r="C344" s="68"/>
      <c r="D344" s="69"/>
      <c r="E344" s="51"/>
      <c r="F344" s="3"/>
    </row>
    <row r="345" spans="1:6" x14ac:dyDescent="0.25">
      <c r="A345" s="3"/>
      <c r="B345" s="67"/>
      <c r="C345" s="68"/>
      <c r="D345" s="69"/>
      <c r="E345" s="51"/>
      <c r="F345" s="3"/>
    </row>
    <row r="346" spans="1:6" x14ac:dyDescent="0.25">
      <c r="A346" s="3"/>
      <c r="B346" s="67"/>
      <c r="C346" s="68"/>
      <c r="D346" s="69"/>
      <c r="E346" s="51"/>
      <c r="F346" s="3"/>
    </row>
    <row r="347" spans="1:6" x14ac:dyDescent="0.25">
      <c r="A347" s="3"/>
      <c r="B347" s="67"/>
      <c r="C347" s="68"/>
      <c r="D347" s="69"/>
      <c r="E347" s="51"/>
      <c r="F347" s="3"/>
    </row>
    <row r="348" spans="1:6" x14ac:dyDescent="0.25">
      <c r="A348" s="3"/>
      <c r="B348" s="67"/>
      <c r="C348" s="68"/>
      <c r="D348" s="69"/>
      <c r="E348" s="51"/>
      <c r="F348" s="3"/>
    </row>
    <row r="349" spans="1:6" x14ac:dyDescent="0.25">
      <c r="A349" s="3"/>
      <c r="B349" s="67"/>
      <c r="C349" s="68"/>
      <c r="D349" s="69"/>
      <c r="E349" s="51"/>
      <c r="F349" s="3"/>
    </row>
    <row r="350" spans="1:6" x14ac:dyDescent="0.25">
      <c r="A350" s="3"/>
      <c r="B350" s="67"/>
      <c r="C350" s="68"/>
      <c r="D350" s="69"/>
      <c r="E350" s="51"/>
      <c r="F350" s="3"/>
    </row>
    <row r="351" spans="1:6" x14ac:dyDescent="0.25">
      <c r="A351" s="3"/>
      <c r="B351" s="67"/>
      <c r="C351" s="68"/>
      <c r="D351" s="69"/>
      <c r="E351" s="51"/>
      <c r="F351" s="3"/>
    </row>
    <row r="352" spans="1:6" x14ac:dyDescent="0.25">
      <c r="A352" s="3"/>
      <c r="B352" s="67"/>
      <c r="C352" s="68"/>
      <c r="D352" s="69"/>
      <c r="E352" s="51"/>
      <c r="F352" s="3"/>
    </row>
    <row r="353" spans="1:6" x14ac:dyDescent="0.25">
      <c r="A353" s="3"/>
      <c r="B353" s="67"/>
      <c r="C353" s="68"/>
      <c r="D353" s="69"/>
      <c r="E353" s="51"/>
      <c r="F353" s="3"/>
    </row>
    <row r="354" spans="1:6" x14ac:dyDescent="0.25">
      <c r="A354" s="3"/>
      <c r="B354" s="67"/>
      <c r="C354" s="68"/>
      <c r="D354" s="69"/>
      <c r="E354" s="51"/>
      <c r="F354" s="3"/>
    </row>
    <row r="355" spans="1:6" x14ac:dyDescent="0.25">
      <c r="A355" s="3"/>
      <c r="B355" s="67"/>
      <c r="C355" s="68"/>
      <c r="D355" s="69"/>
      <c r="E355" s="51"/>
      <c r="F355" s="3"/>
    </row>
    <row r="356" spans="1:6" x14ac:dyDescent="0.25">
      <c r="A356" s="3"/>
      <c r="B356" s="67"/>
      <c r="C356" s="68"/>
      <c r="D356" s="69"/>
      <c r="E356" s="51"/>
      <c r="F356" s="3"/>
    </row>
    <row r="357" spans="1:6" x14ac:dyDescent="0.25">
      <c r="A357" s="3"/>
      <c r="B357" s="67"/>
      <c r="C357" s="68"/>
      <c r="D357" s="69"/>
      <c r="E357" s="51"/>
      <c r="F357" s="3"/>
    </row>
    <row r="358" spans="1:6" x14ac:dyDescent="0.25">
      <c r="A358" s="3"/>
      <c r="B358" s="67"/>
      <c r="C358" s="68"/>
      <c r="D358" s="69"/>
      <c r="E358" s="51"/>
      <c r="F358" s="3"/>
    </row>
    <row r="359" spans="1:6" x14ac:dyDescent="0.25">
      <c r="A359" s="3"/>
      <c r="B359" s="67"/>
      <c r="C359" s="68"/>
      <c r="D359" s="69"/>
      <c r="E359" s="51"/>
      <c r="F359" s="3"/>
    </row>
    <row r="360" spans="1:6" x14ac:dyDescent="0.25">
      <c r="A360" s="3"/>
      <c r="B360" s="67"/>
      <c r="C360" s="68"/>
      <c r="D360" s="69"/>
      <c r="E360" s="51"/>
      <c r="F360" s="3"/>
    </row>
    <row r="361" spans="1:6" x14ac:dyDescent="0.25">
      <c r="A361" s="3"/>
      <c r="B361" s="67"/>
      <c r="C361" s="68"/>
      <c r="D361" s="69"/>
      <c r="E361" s="51"/>
      <c r="F361" s="3"/>
    </row>
    <row r="362" spans="1:6" x14ac:dyDescent="0.25">
      <c r="A362" s="3"/>
      <c r="B362" s="67"/>
      <c r="C362" s="68"/>
      <c r="D362" s="69"/>
      <c r="E362" s="51"/>
      <c r="F362" s="3"/>
    </row>
    <row r="363" spans="1:6" x14ac:dyDescent="0.25">
      <c r="A363" s="3"/>
      <c r="B363" s="67"/>
      <c r="C363" s="68"/>
      <c r="D363" s="69"/>
      <c r="E363" s="51"/>
      <c r="F363" s="3"/>
    </row>
    <row r="364" spans="1:6" x14ac:dyDescent="0.25">
      <c r="A364" s="3"/>
      <c r="B364" s="67"/>
      <c r="C364" s="68"/>
      <c r="D364" s="69"/>
      <c r="E364" s="51"/>
      <c r="F364" s="3"/>
    </row>
    <row r="365" spans="1:6" x14ac:dyDescent="0.25">
      <c r="A365" s="3"/>
      <c r="B365" s="67"/>
      <c r="C365" s="68"/>
      <c r="D365" s="69"/>
      <c r="E365" s="51"/>
      <c r="F365" s="3"/>
    </row>
    <row r="366" spans="1:6" x14ac:dyDescent="0.25">
      <c r="A366" s="3"/>
      <c r="B366" s="67"/>
      <c r="C366" s="68"/>
      <c r="D366" s="69"/>
      <c r="E366" s="51"/>
      <c r="F366" s="3"/>
    </row>
    <row r="367" spans="1:6" x14ac:dyDescent="0.25">
      <c r="A367" s="3"/>
      <c r="B367" s="67"/>
      <c r="C367" s="68"/>
      <c r="D367" s="69"/>
      <c r="E367" s="51"/>
      <c r="F367" s="3"/>
    </row>
    <row r="368" spans="1:6" x14ac:dyDescent="0.25">
      <c r="A368" s="3"/>
      <c r="B368" s="67"/>
      <c r="C368" s="68"/>
      <c r="D368" s="69"/>
      <c r="E368" s="51"/>
      <c r="F368" s="3"/>
    </row>
    <row r="369" spans="1:6" x14ac:dyDescent="0.25">
      <c r="A369" s="3"/>
      <c r="B369" s="67"/>
      <c r="C369" s="68"/>
      <c r="D369" s="69"/>
      <c r="E369" s="51"/>
      <c r="F369" s="3"/>
    </row>
    <row r="370" spans="1:6" x14ac:dyDescent="0.25">
      <c r="A370" s="3"/>
      <c r="B370" s="67"/>
      <c r="C370" s="68"/>
      <c r="D370" s="69"/>
      <c r="E370" s="51"/>
      <c r="F370" s="3"/>
    </row>
    <row r="371" spans="1:6" x14ac:dyDescent="0.25">
      <c r="A371" s="3"/>
      <c r="B371" s="67"/>
      <c r="C371" s="68"/>
      <c r="D371" s="69"/>
      <c r="E371" s="51"/>
      <c r="F371" s="3"/>
    </row>
    <row r="372" spans="1:6" x14ac:dyDescent="0.25">
      <c r="A372" s="3"/>
      <c r="B372" s="67"/>
      <c r="C372" s="68"/>
      <c r="D372" s="69"/>
      <c r="E372" s="51"/>
      <c r="F372" s="3"/>
    </row>
    <row r="373" spans="1:6" x14ac:dyDescent="0.25">
      <c r="A373" s="3"/>
      <c r="B373" s="67"/>
      <c r="C373" s="68"/>
      <c r="D373" s="69"/>
      <c r="E373" s="51"/>
      <c r="F373" s="3"/>
    </row>
    <row r="374" spans="1:6" x14ac:dyDescent="0.25">
      <c r="A374" s="3"/>
      <c r="B374" s="67"/>
      <c r="C374" s="68"/>
      <c r="D374" s="69"/>
      <c r="E374" s="51"/>
      <c r="F374" s="3"/>
    </row>
    <row r="375" spans="1:6" x14ac:dyDescent="0.25">
      <c r="A375" s="3"/>
      <c r="B375" s="67"/>
      <c r="C375" s="68"/>
      <c r="D375" s="69"/>
      <c r="E375" s="51"/>
      <c r="F375" s="3"/>
    </row>
    <row r="376" spans="1:6" x14ac:dyDescent="0.25">
      <c r="A376" s="3"/>
      <c r="B376" s="67"/>
      <c r="C376" s="68"/>
      <c r="D376" s="69"/>
      <c r="E376" s="51"/>
      <c r="F376" s="3"/>
    </row>
    <row r="377" spans="1:6" x14ac:dyDescent="0.25">
      <c r="A377" s="3"/>
      <c r="B377" s="67"/>
      <c r="C377" s="68"/>
      <c r="D377" s="69"/>
      <c r="E377" s="51"/>
      <c r="F377" s="3"/>
    </row>
    <row r="378" spans="1:6" x14ac:dyDescent="0.25">
      <c r="A378" s="3"/>
      <c r="B378" s="67"/>
      <c r="C378" s="68"/>
      <c r="D378" s="69"/>
      <c r="E378" s="51"/>
      <c r="F378" s="3"/>
    </row>
    <row r="379" spans="1:6" x14ac:dyDescent="0.25">
      <c r="A379" s="3"/>
      <c r="B379" s="67"/>
      <c r="C379" s="68"/>
      <c r="D379" s="69"/>
      <c r="E379" s="51"/>
      <c r="F379" s="3"/>
    </row>
    <row r="380" spans="1:6" x14ac:dyDescent="0.25">
      <c r="A380" s="3"/>
      <c r="B380" s="67"/>
      <c r="C380" s="68"/>
      <c r="D380" s="69"/>
      <c r="E380" s="51"/>
      <c r="F380" s="3"/>
    </row>
    <row r="381" spans="1:6" x14ac:dyDescent="0.25">
      <c r="A381" s="3"/>
      <c r="B381" s="67"/>
      <c r="C381" s="68"/>
      <c r="D381" s="69"/>
      <c r="E381" s="51"/>
      <c r="F381" s="3"/>
    </row>
    <row r="382" spans="1:6" x14ac:dyDescent="0.25">
      <c r="A382" s="3"/>
      <c r="B382" s="67"/>
      <c r="C382" s="68"/>
      <c r="D382" s="69"/>
      <c r="E382" s="51"/>
      <c r="F382" s="3"/>
    </row>
    <row r="383" spans="1:6" x14ac:dyDescent="0.25">
      <c r="A383" s="3"/>
      <c r="B383" s="67"/>
      <c r="C383" s="68"/>
      <c r="D383" s="69"/>
      <c r="E383" s="51"/>
      <c r="F383" s="3"/>
    </row>
    <row r="384" spans="1:6" x14ac:dyDescent="0.25">
      <c r="A384" s="3"/>
      <c r="B384" s="67"/>
      <c r="C384" s="68"/>
      <c r="D384" s="69"/>
      <c r="E384" s="51"/>
      <c r="F384" s="3"/>
    </row>
    <row r="385" spans="1:6" x14ac:dyDescent="0.25">
      <c r="A385" s="3"/>
      <c r="B385" s="67"/>
      <c r="C385" s="68"/>
      <c r="D385" s="69"/>
      <c r="E385" s="51"/>
      <c r="F385" s="3"/>
    </row>
    <row r="386" spans="1:6" x14ac:dyDescent="0.25">
      <c r="A386" s="3"/>
      <c r="B386" s="67"/>
      <c r="C386" s="68"/>
      <c r="D386" s="69"/>
      <c r="E386" s="51"/>
      <c r="F386" s="3"/>
    </row>
    <row r="387" spans="1:6" x14ac:dyDescent="0.25">
      <c r="A387" s="3"/>
      <c r="B387" s="67"/>
      <c r="C387" s="68"/>
      <c r="D387" s="69"/>
      <c r="E387" s="51"/>
      <c r="F387" s="3"/>
    </row>
    <row r="388" spans="1:6" x14ac:dyDescent="0.25">
      <c r="A388" s="3"/>
      <c r="B388" s="67"/>
      <c r="C388" s="68"/>
      <c r="D388" s="69"/>
      <c r="E388" s="51"/>
      <c r="F388" s="3"/>
    </row>
    <row r="389" spans="1:6" x14ac:dyDescent="0.25">
      <c r="A389" s="3"/>
      <c r="B389" s="67"/>
      <c r="C389" s="68"/>
      <c r="D389" s="69"/>
      <c r="E389" s="51"/>
      <c r="F389" s="3"/>
    </row>
    <row r="390" spans="1:6" x14ac:dyDescent="0.25">
      <c r="A390" s="3"/>
      <c r="B390" s="67"/>
      <c r="C390" s="68"/>
      <c r="D390" s="69"/>
      <c r="E390" s="51"/>
      <c r="F390" s="3"/>
    </row>
    <row r="391" spans="1:6" x14ac:dyDescent="0.25">
      <c r="A391" s="3"/>
      <c r="B391" s="67"/>
      <c r="C391" s="68"/>
      <c r="D391" s="69"/>
      <c r="E391" s="51"/>
      <c r="F391" s="3"/>
    </row>
    <row r="392" spans="1:6" x14ac:dyDescent="0.25">
      <c r="A392" s="3"/>
      <c r="B392" s="67"/>
      <c r="C392" s="68"/>
      <c r="D392" s="69"/>
      <c r="E392" s="51"/>
      <c r="F392" s="3"/>
    </row>
    <row r="393" spans="1:6" x14ac:dyDescent="0.25">
      <c r="A393" s="3"/>
      <c r="B393" s="67"/>
      <c r="C393" s="68"/>
      <c r="D393" s="69"/>
      <c r="E393" s="51"/>
      <c r="F393" s="3"/>
    </row>
    <row r="394" spans="1:6" x14ac:dyDescent="0.25">
      <c r="A394" s="3"/>
      <c r="B394" s="67"/>
      <c r="C394" s="68"/>
      <c r="D394" s="69"/>
      <c r="E394" s="51"/>
      <c r="F394" s="3"/>
    </row>
    <row r="395" spans="1:6" x14ac:dyDescent="0.25">
      <c r="A395" s="3"/>
      <c r="B395" s="67"/>
      <c r="C395" s="68"/>
      <c r="D395" s="69"/>
      <c r="E395" s="51"/>
      <c r="F395" s="3"/>
    </row>
    <row r="396" spans="1:6" x14ac:dyDescent="0.25">
      <c r="A396" s="3"/>
      <c r="B396" s="67"/>
      <c r="C396" s="68"/>
      <c r="D396" s="69"/>
      <c r="E396" s="51"/>
      <c r="F396" s="3"/>
    </row>
    <row r="397" spans="1:6" x14ac:dyDescent="0.25">
      <c r="A397" s="3"/>
      <c r="B397" s="67"/>
      <c r="C397" s="68"/>
      <c r="D397" s="69"/>
      <c r="E397" s="51"/>
      <c r="F397" s="3"/>
    </row>
    <row r="398" spans="1:6" x14ac:dyDescent="0.25">
      <c r="A398" s="3"/>
      <c r="B398" s="67"/>
      <c r="C398" s="68"/>
      <c r="D398" s="69"/>
      <c r="E398" s="51"/>
      <c r="F398" s="3"/>
    </row>
    <row r="399" spans="1:6" x14ac:dyDescent="0.25">
      <c r="A399" s="3"/>
      <c r="B399" s="67"/>
      <c r="C399" s="68"/>
      <c r="D399" s="69"/>
      <c r="E399" s="51"/>
      <c r="F399" s="3"/>
    </row>
    <row r="400" spans="1:6" x14ac:dyDescent="0.25">
      <c r="A400" s="3"/>
      <c r="B400" s="67"/>
      <c r="C400" s="68"/>
      <c r="D400" s="69"/>
      <c r="E400" s="51"/>
      <c r="F400" s="3"/>
    </row>
    <row r="401" spans="1:6" x14ac:dyDescent="0.25">
      <c r="A401" s="3"/>
      <c r="B401" s="67"/>
      <c r="C401" s="68"/>
      <c r="D401" s="69"/>
      <c r="E401" s="51"/>
      <c r="F401" s="3"/>
    </row>
    <row r="402" spans="1:6" x14ac:dyDescent="0.25">
      <c r="A402" s="3"/>
      <c r="B402" s="67"/>
      <c r="C402" s="68"/>
      <c r="D402" s="69"/>
      <c r="E402" s="51"/>
      <c r="F402" s="3"/>
    </row>
    <row r="403" spans="1:6" x14ac:dyDescent="0.25">
      <c r="A403" s="3"/>
      <c r="B403" s="67"/>
      <c r="C403" s="68"/>
      <c r="D403" s="69"/>
      <c r="E403" s="51"/>
      <c r="F403" s="3"/>
    </row>
    <row r="404" spans="1:6" x14ac:dyDescent="0.25">
      <c r="A404" s="3"/>
      <c r="B404" s="67"/>
      <c r="C404" s="68"/>
      <c r="D404" s="69"/>
      <c r="E404" s="51"/>
      <c r="F404" s="3"/>
    </row>
    <row r="405" spans="1:6" x14ac:dyDescent="0.25">
      <c r="A405" s="3"/>
      <c r="B405" s="67"/>
      <c r="C405" s="68"/>
      <c r="D405" s="69"/>
      <c r="E405" s="51"/>
      <c r="F405" s="3"/>
    </row>
    <row r="406" spans="1:6" x14ac:dyDescent="0.25">
      <c r="A406" s="3"/>
      <c r="B406" s="67"/>
      <c r="C406" s="68"/>
      <c r="D406" s="69"/>
      <c r="E406" s="51"/>
      <c r="F406" s="3"/>
    </row>
    <row r="407" spans="1:6" x14ac:dyDescent="0.25">
      <c r="A407" s="3"/>
      <c r="B407" s="67"/>
      <c r="C407" s="68"/>
      <c r="D407" s="69"/>
      <c r="E407" s="51"/>
      <c r="F407" s="3"/>
    </row>
    <row r="408" spans="1:6" x14ac:dyDescent="0.25">
      <c r="A408" s="3"/>
      <c r="B408" s="67"/>
      <c r="C408" s="68"/>
      <c r="D408" s="69"/>
      <c r="E408" s="51"/>
      <c r="F408" s="3"/>
    </row>
    <row r="409" spans="1:6" x14ac:dyDescent="0.25">
      <c r="A409" s="3"/>
      <c r="B409" s="67"/>
      <c r="C409" s="68"/>
      <c r="D409" s="69"/>
      <c r="E409" s="51"/>
      <c r="F409" s="3"/>
    </row>
    <row r="410" spans="1:6" x14ac:dyDescent="0.25">
      <c r="A410" s="3"/>
      <c r="B410" s="67"/>
      <c r="C410" s="68"/>
      <c r="D410" s="69"/>
      <c r="E410" s="51"/>
      <c r="F410" s="3"/>
    </row>
    <row r="411" spans="1:6" x14ac:dyDescent="0.25">
      <c r="A411" s="3"/>
      <c r="B411" s="67"/>
      <c r="C411" s="68"/>
      <c r="D411" s="69"/>
      <c r="E411" s="51"/>
      <c r="F411" s="3"/>
    </row>
    <row r="412" spans="1:6" x14ac:dyDescent="0.25">
      <c r="A412" s="3"/>
      <c r="B412" s="67"/>
      <c r="C412" s="68"/>
      <c r="D412" s="69"/>
      <c r="E412" s="51"/>
      <c r="F412" s="3"/>
    </row>
    <row r="413" spans="1:6" x14ac:dyDescent="0.25">
      <c r="A413" s="3"/>
      <c r="B413" s="67"/>
      <c r="C413" s="68"/>
      <c r="D413" s="69"/>
      <c r="E413" s="51"/>
      <c r="F413" s="3"/>
    </row>
    <row r="414" spans="1:6" x14ac:dyDescent="0.25">
      <c r="A414" s="3"/>
      <c r="B414" s="67"/>
      <c r="C414" s="68"/>
      <c r="D414" s="69"/>
      <c r="E414" s="51"/>
      <c r="F414" s="3"/>
    </row>
    <row r="415" spans="1:6" x14ac:dyDescent="0.25">
      <c r="A415" s="3"/>
      <c r="B415" s="67"/>
      <c r="C415" s="68"/>
      <c r="D415" s="69"/>
      <c r="E415" s="51"/>
      <c r="F415" s="3"/>
    </row>
    <row r="416" spans="1:6" x14ac:dyDescent="0.25">
      <c r="A416" s="3"/>
      <c r="B416" s="67"/>
      <c r="C416" s="68"/>
      <c r="D416" s="69"/>
      <c r="E416" s="51"/>
      <c r="F416" s="3"/>
    </row>
    <row r="417" spans="1:6" x14ac:dyDescent="0.25">
      <c r="A417" s="3"/>
      <c r="B417" s="67"/>
      <c r="C417" s="68"/>
      <c r="D417" s="69"/>
      <c r="E417" s="51"/>
      <c r="F417" s="3"/>
    </row>
    <row r="418" spans="1:6" x14ac:dyDescent="0.25">
      <c r="A418" s="3"/>
      <c r="B418" s="67"/>
      <c r="C418" s="68"/>
      <c r="D418" s="69"/>
      <c r="E418" s="51"/>
      <c r="F418" s="3"/>
    </row>
    <row r="419" spans="1:6" x14ac:dyDescent="0.25">
      <c r="A419" s="3"/>
      <c r="B419" s="67"/>
      <c r="C419" s="68"/>
      <c r="D419" s="69"/>
      <c r="E419" s="51"/>
      <c r="F419" s="3"/>
    </row>
    <row r="420" spans="1:6" x14ac:dyDescent="0.25">
      <c r="A420" s="3"/>
      <c r="B420" s="67"/>
      <c r="C420" s="68"/>
      <c r="D420" s="69"/>
      <c r="E420" s="51"/>
      <c r="F420" s="3"/>
    </row>
    <row r="421" spans="1:6" x14ac:dyDescent="0.25">
      <c r="A421" s="3"/>
      <c r="B421" s="67"/>
      <c r="C421" s="68"/>
      <c r="D421" s="69"/>
      <c r="E421" s="51"/>
      <c r="F421" s="3"/>
    </row>
    <row r="422" spans="1:6" x14ac:dyDescent="0.25">
      <c r="A422" s="3"/>
      <c r="B422" s="67"/>
      <c r="C422" s="68"/>
      <c r="D422" s="69"/>
      <c r="E422" s="51"/>
      <c r="F422" s="3"/>
    </row>
    <row r="423" spans="1:6" x14ac:dyDescent="0.25">
      <c r="A423" s="3"/>
      <c r="B423" s="67"/>
      <c r="C423" s="68"/>
      <c r="D423" s="69"/>
      <c r="E423" s="51"/>
      <c r="F423" s="3"/>
    </row>
    <row r="424" spans="1:6" x14ac:dyDescent="0.25">
      <c r="A424" s="3"/>
      <c r="B424" s="67"/>
      <c r="C424" s="68"/>
      <c r="D424" s="69"/>
      <c r="E424" s="51"/>
      <c r="F424" s="3"/>
    </row>
    <row r="425" spans="1:6" x14ac:dyDescent="0.25">
      <c r="A425" s="3"/>
      <c r="B425" s="67"/>
      <c r="C425" s="68"/>
      <c r="D425" s="69"/>
      <c r="E425" s="51"/>
      <c r="F425" s="3"/>
    </row>
    <row r="426" spans="1:6" x14ac:dyDescent="0.25">
      <c r="A426" s="3"/>
      <c r="B426" s="67"/>
      <c r="C426" s="68"/>
      <c r="D426" s="69"/>
      <c r="E426" s="51"/>
      <c r="F426" s="3"/>
    </row>
    <row r="427" spans="1:6" x14ac:dyDescent="0.25">
      <c r="A427" s="3"/>
      <c r="B427" s="67"/>
      <c r="C427" s="68"/>
      <c r="D427" s="69"/>
      <c r="E427" s="51"/>
      <c r="F427" s="3"/>
    </row>
    <row r="428" spans="1:6" x14ac:dyDescent="0.25">
      <c r="A428" s="3"/>
      <c r="B428" s="67"/>
      <c r="C428" s="68"/>
      <c r="D428" s="69"/>
      <c r="E428" s="51"/>
      <c r="F428" s="3"/>
    </row>
    <row r="429" spans="1:6" x14ac:dyDescent="0.25">
      <c r="A429" s="3"/>
      <c r="B429" s="67"/>
      <c r="C429" s="68"/>
      <c r="D429" s="69"/>
      <c r="E429" s="51"/>
      <c r="F429" s="3"/>
    </row>
    <row r="430" spans="1:6" x14ac:dyDescent="0.25">
      <c r="A430" s="3"/>
      <c r="B430" s="67"/>
      <c r="C430" s="68"/>
      <c r="D430" s="69"/>
      <c r="E430" s="51"/>
      <c r="F430" s="3"/>
    </row>
    <row r="431" spans="1:6" x14ac:dyDescent="0.25">
      <c r="A431" s="3"/>
      <c r="B431" s="67"/>
      <c r="C431" s="68"/>
      <c r="D431" s="69"/>
      <c r="E431" s="51"/>
      <c r="F431" s="3"/>
    </row>
    <row r="432" spans="1:6" x14ac:dyDescent="0.25">
      <c r="A432" s="3"/>
      <c r="B432" s="67"/>
      <c r="C432" s="68"/>
      <c r="D432" s="69"/>
      <c r="E432" s="51"/>
      <c r="F432" s="3"/>
    </row>
    <row r="433" spans="1:6" x14ac:dyDescent="0.25">
      <c r="A433" s="3"/>
      <c r="B433" s="67"/>
      <c r="C433" s="68"/>
      <c r="D433" s="69"/>
      <c r="E433" s="51"/>
      <c r="F433" s="3"/>
    </row>
    <row r="434" spans="1:6" x14ac:dyDescent="0.25">
      <c r="A434" s="3"/>
      <c r="B434" s="67"/>
      <c r="C434" s="68"/>
      <c r="D434" s="69"/>
      <c r="E434" s="51"/>
      <c r="F434" s="3"/>
    </row>
    <row r="435" spans="1:6" x14ac:dyDescent="0.25">
      <c r="A435" s="3"/>
      <c r="B435" s="67"/>
      <c r="C435" s="68"/>
      <c r="D435" s="69"/>
      <c r="E435" s="51"/>
      <c r="F435" s="3"/>
    </row>
    <row r="436" spans="1:6" x14ac:dyDescent="0.25">
      <c r="A436" s="3"/>
      <c r="B436" s="67"/>
      <c r="C436" s="68"/>
      <c r="D436" s="69"/>
      <c r="E436" s="51"/>
      <c r="F436" s="3"/>
    </row>
    <row r="437" spans="1:6" x14ac:dyDescent="0.25">
      <c r="A437" s="3"/>
      <c r="B437" s="67"/>
      <c r="C437" s="68"/>
      <c r="D437" s="69"/>
      <c r="E437" s="51"/>
      <c r="F437" s="3"/>
    </row>
    <row r="438" spans="1:6" x14ac:dyDescent="0.25">
      <c r="A438" s="3"/>
      <c r="B438" s="67"/>
      <c r="C438" s="68"/>
      <c r="D438" s="69"/>
      <c r="E438" s="51"/>
      <c r="F438" s="3"/>
    </row>
    <row r="439" spans="1:6" x14ac:dyDescent="0.25">
      <c r="A439" s="3"/>
      <c r="B439" s="67"/>
      <c r="C439" s="68"/>
      <c r="D439" s="69"/>
      <c r="E439" s="51"/>
      <c r="F439" s="3"/>
    </row>
    <row r="440" spans="1:6" x14ac:dyDescent="0.25">
      <c r="A440" s="3"/>
      <c r="B440" s="67"/>
      <c r="C440" s="68"/>
      <c r="D440" s="69"/>
      <c r="E440" s="51"/>
      <c r="F440" s="3"/>
    </row>
    <row r="441" spans="1:6" x14ac:dyDescent="0.25">
      <c r="A441" s="3"/>
      <c r="B441" s="67"/>
      <c r="C441" s="68"/>
      <c r="D441" s="69"/>
      <c r="E441" s="51"/>
      <c r="F441" s="3"/>
    </row>
    <row r="442" spans="1:6" x14ac:dyDescent="0.25">
      <c r="A442" s="3"/>
      <c r="B442" s="67"/>
      <c r="C442" s="68"/>
      <c r="D442" s="69"/>
      <c r="E442" s="51"/>
      <c r="F442" s="3"/>
    </row>
    <row r="443" spans="1:6" x14ac:dyDescent="0.25">
      <c r="A443" s="3"/>
      <c r="B443" s="67"/>
      <c r="C443" s="68"/>
      <c r="D443" s="69"/>
      <c r="E443" s="51"/>
      <c r="F443" s="3"/>
    </row>
    <row r="444" spans="1:6" x14ac:dyDescent="0.25">
      <c r="A444" s="3"/>
      <c r="B444" s="67"/>
      <c r="C444" s="68"/>
      <c r="D444" s="69"/>
      <c r="E444" s="51"/>
      <c r="F444" s="3"/>
    </row>
    <row r="445" spans="1:6" x14ac:dyDescent="0.25">
      <c r="A445" s="3"/>
      <c r="B445" s="67"/>
      <c r="C445" s="68"/>
      <c r="D445" s="69"/>
      <c r="E445" s="51"/>
      <c r="F445" s="3"/>
    </row>
    <row r="446" spans="1:6" x14ac:dyDescent="0.25">
      <c r="A446" s="3"/>
      <c r="B446" s="67"/>
      <c r="C446" s="68"/>
      <c r="D446" s="69"/>
      <c r="E446" s="51"/>
      <c r="F446" s="3"/>
    </row>
    <row r="447" spans="1:6" x14ac:dyDescent="0.25">
      <c r="A447" s="3"/>
      <c r="B447" s="67"/>
      <c r="C447" s="68"/>
      <c r="D447" s="69"/>
      <c r="E447" s="51"/>
      <c r="F447" s="3"/>
    </row>
    <row r="448" spans="1:6" x14ac:dyDescent="0.25">
      <c r="A448" s="3"/>
      <c r="B448" s="67"/>
      <c r="C448" s="68"/>
      <c r="D448" s="69"/>
      <c r="E448" s="51"/>
      <c r="F448" s="3"/>
    </row>
    <row r="449" spans="1:6" x14ac:dyDescent="0.25">
      <c r="A449" s="3"/>
      <c r="B449" s="67"/>
      <c r="C449" s="68"/>
      <c r="D449" s="69"/>
      <c r="E449" s="51"/>
      <c r="F449" s="3"/>
    </row>
    <row r="450" spans="1:6" x14ac:dyDescent="0.25">
      <c r="A450" s="3"/>
      <c r="B450" s="67"/>
      <c r="C450" s="68"/>
      <c r="D450" s="69"/>
      <c r="E450" s="51"/>
      <c r="F450" s="3"/>
    </row>
    <row r="451" spans="1:6" x14ac:dyDescent="0.25">
      <c r="A451" s="3"/>
      <c r="B451" s="67"/>
      <c r="C451" s="68"/>
      <c r="D451" s="69"/>
      <c r="E451" s="51"/>
      <c r="F451" s="3"/>
    </row>
    <row r="452" spans="1:6" x14ac:dyDescent="0.25">
      <c r="A452" s="3"/>
      <c r="B452" s="67"/>
      <c r="C452" s="68"/>
      <c r="D452" s="69"/>
      <c r="E452" s="51"/>
      <c r="F452" s="3"/>
    </row>
    <row r="453" spans="1:6" x14ac:dyDescent="0.25">
      <c r="A453" s="3"/>
      <c r="B453" s="67"/>
      <c r="C453" s="68"/>
      <c r="D453" s="69"/>
      <c r="E453" s="51"/>
      <c r="F453" s="3"/>
    </row>
    <row r="454" spans="1:6" x14ac:dyDescent="0.25">
      <c r="A454" s="3"/>
      <c r="B454" s="67"/>
      <c r="C454" s="68"/>
      <c r="D454" s="69"/>
      <c r="E454" s="51"/>
      <c r="F454" s="3"/>
    </row>
    <row r="455" spans="1:6" x14ac:dyDescent="0.25">
      <c r="A455" s="3"/>
      <c r="B455" s="67"/>
      <c r="C455" s="68"/>
      <c r="D455" s="69"/>
      <c r="E455" s="51"/>
      <c r="F455" s="3"/>
    </row>
    <row r="456" spans="1:6" x14ac:dyDescent="0.25">
      <c r="A456" s="3"/>
      <c r="B456" s="67"/>
      <c r="C456" s="68"/>
      <c r="D456" s="69"/>
      <c r="E456" s="51"/>
      <c r="F456" s="3"/>
    </row>
    <row r="457" spans="1:6" x14ac:dyDescent="0.25">
      <c r="A457" s="3"/>
      <c r="B457" s="67"/>
      <c r="C457" s="68"/>
      <c r="D457" s="69"/>
      <c r="E457" s="51"/>
      <c r="F457" s="3"/>
    </row>
    <row r="458" spans="1:6" x14ac:dyDescent="0.25">
      <c r="A458" s="3"/>
      <c r="B458" s="67"/>
      <c r="C458" s="68"/>
      <c r="D458" s="69"/>
      <c r="E458" s="51"/>
      <c r="F458" s="3"/>
    </row>
    <row r="459" spans="1:6" x14ac:dyDescent="0.25">
      <c r="A459" s="3"/>
      <c r="B459" s="67"/>
      <c r="C459" s="68"/>
      <c r="D459" s="69"/>
      <c r="E459" s="51"/>
      <c r="F459" s="3"/>
    </row>
    <row r="460" spans="1:6" x14ac:dyDescent="0.25">
      <c r="A460" s="3"/>
      <c r="B460" s="67"/>
      <c r="C460" s="68"/>
      <c r="D460" s="69"/>
      <c r="E460" s="51"/>
      <c r="F460" s="3"/>
    </row>
    <row r="461" spans="1:6" x14ac:dyDescent="0.25">
      <c r="A461" s="3"/>
      <c r="B461" s="67"/>
      <c r="C461" s="68"/>
      <c r="D461" s="69"/>
      <c r="E461" s="51"/>
      <c r="F461" s="3"/>
    </row>
    <row r="462" spans="1:6" x14ac:dyDescent="0.25">
      <c r="A462" s="3"/>
      <c r="B462" s="67"/>
      <c r="C462" s="68"/>
      <c r="D462" s="69"/>
      <c r="E462" s="51"/>
      <c r="F462" s="3"/>
    </row>
    <row r="463" spans="1:6" x14ac:dyDescent="0.25">
      <c r="A463" s="3"/>
      <c r="B463" s="67"/>
      <c r="C463" s="68"/>
      <c r="D463" s="69"/>
      <c r="E463" s="51"/>
      <c r="F463" s="3"/>
    </row>
    <row r="464" spans="1:6" x14ac:dyDescent="0.25">
      <c r="A464" s="3"/>
      <c r="B464" s="67"/>
      <c r="C464" s="68"/>
      <c r="D464" s="69"/>
      <c r="E464" s="51"/>
      <c r="F464" s="3"/>
    </row>
    <row r="465" spans="1:6" x14ac:dyDescent="0.25">
      <c r="A465" s="3"/>
      <c r="B465" s="67"/>
      <c r="C465" s="68"/>
      <c r="D465" s="69"/>
      <c r="E465" s="51"/>
      <c r="F465" s="3"/>
    </row>
    <row r="466" spans="1:6" x14ac:dyDescent="0.25">
      <c r="A466" s="3"/>
      <c r="B466" s="67"/>
      <c r="C466" s="68"/>
      <c r="D466" s="69"/>
      <c r="E466" s="51"/>
      <c r="F466" s="3"/>
    </row>
    <row r="467" spans="1:6" x14ac:dyDescent="0.25">
      <c r="A467" s="3"/>
      <c r="B467" s="67"/>
      <c r="C467" s="68"/>
      <c r="D467" s="69"/>
      <c r="E467" s="51"/>
      <c r="F467" s="3"/>
    </row>
    <row r="468" spans="1:6" x14ac:dyDescent="0.25">
      <c r="A468" s="3"/>
      <c r="B468" s="67"/>
      <c r="C468" s="68"/>
      <c r="D468" s="69"/>
      <c r="E468" s="51"/>
      <c r="F468" s="3"/>
    </row>
    <row r="469" spans="1:6" x14ac:dyDescent="0.25">
      <c r="A469" s="3"/>
      <c r="B469" s="67"/>
      <c r="C469" s="68"/>
      <c r="D469" s="69"/>
      <c r="E469" s="51"/>
      <c r="F469" s="3"/>
    </row>
    <row r="470" spans="1:6" x14ac:dyDescent="0.25">
      <c r="A470" s="3"/>
      <c r="B470" s="67"/>
      <c r="C470" s="68"/>
      <c r="D470" s="69"/>
      <c r="E470" s="51"/>
      <c r="F470" s="3"/>
    </row>
    <row r="471" spans="1:6" x14ac:dyDescent="0.25">
      <c r="A471" s="3"/>
      <c r="B471" s="67"/>
      <c r="C471" s="68"/>
      <c r="D471" s="69"/>
      <c r="E471" s="51"/>
      <c r="F471" s="3"/>
    </row>
    <row r="472" spans="1:6" x14ac:dyDescent="0.25">
      <c r="A472" s="3"/>
      <c r="B472" s="67"/>
      <c r="C472" s="68"/>
      <c r="D472" s="69"/>
      <c r="E472" s="51"/>
      <c r="F472" s="3"/>
    </row>
    <row r="473" spans="1:6" x14ac:dyDescent="0.25">
      <c r="A473" s="3"/>
      <c r="B473" s="67"/>
      <c r="C473" s="68"/>
      <c r="D473" s="69"/>
      <c r="E473" s="51"/>
      <c r="F473" s="3"/>
    </row>
  </sheetData>
  <autoFilter ref="A1:H1" xr:uid="{26D13607-B9D5-46A2-B8F3-A280ACADEEA6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1996-E0AC-4A73-B5D6-28C40FC706CC}">
  <dimension ref="A1:K317"/>
  <sheetViews>
    <sheetView topLeftCell="A3" zoomScale="85" zoomScaleNormal="85" workbookViewId="0">
      <selection activeCell="I42" sqref="I42"/>
    </sheetView>
  </sheetViews>
  <sheetFormatPr defaultRowHeight="15" x14ac:dyDescent="0.25"/>
  <cols>
    <col min="1" max="1" width="10.42578125" bestFit="1" customWidth="1"/>
    <col min="2" max="2" width="24.5703125" style="170" bestFit="1" customWidth="1"/>
    <col min="3" max="3" width="27.5703125" style="61" bestFit="1" customWidth="1"/>
    <col min="4" max="4" width="12.85546875" style="62" bestFit="1" customWidth="1"/>
    <col min="5" max="5" width="15.7109375" style="2" bestFit="1" customWidth="1"/>
    <col min="6" max="6" width="15.7109375" style="1" customWidth="1"/>
    <col min="7" max="7" width="19.7109375" bestFit="1" customWidth="1"/>
    <col min="8" max="8" width="13.140625" bestFit="1" customWidth="1"/>
    <col min="9" max="9" width="13.140625" customWidth="1"/>
    <col min="10" max="10" width="31.28515625" customWidth="1"/>
    <col min="11" max="11" width="13.7109375" bestFit="1" customWidth="1"/>
    <col min="12" max="12" width="9.85546875" bestFit="1" customWidth="1"/>
    <col min="14" max="14" width="21.140625" bestFit="1" customWidth="1"/>
    <col min="16" max="16" width="16.42578125" bestFit="1" customWidth="1"/>
    <col min="17" max="17" width="11.85546875" bestFit="1" customWidth="1"/>
    <col min="18" max="18" width="9" bestFit="1" customWidth="1"/>
    <col min="19" max="19" width="9.85546875" bestFit="1" customWidth="1"/>
  </cols>
  <sheetData>
    <row r="1" spans="1:11" ht="30" x14ac:dyDescent="0.25">
      <c r="A1" s="66" t="s">
        <v>116</v>
      </c>
      <c r="B1" s="168" t="s">
        <v>117</v>
      </c>
      <c r="C1" s="64" t="s">
        <v>118</v>
      </c>
      <c r="D1" s="171" t="s">
        <v>123</v>
      </c>
      <c r="E1" s="174" t="s">
        <v>124</v>
      </c>
      <c r="F1" s="201" t="s">
        <v>120</v>
      </c>
      <c r="G1" s="53" t="s">
        <v>125</v>
      </c>
      <c r="H1" s="53" t="s">
        <v>113</v>
      </c>
      <c r="I1" s="53" t="s">
        <v>126</v>
      </c>
      <c r="J1" s="176" t="s">
        <v>127</v>
      </c>
      <c r="K1" s="53" t="s">
        <v>128</v>
      </c>
    </row>
    <row r="2" spans="1:11" x14ac:dyDescent="0.25">
      <c r="A2" s="66"/>
      <c r="B2" s="169"/>
      <c r="C2" s="68"/>
      <c r="D2" s="172"/>
      <c r="E2" s="217"/>
      <c r="F2" s="300"/>
      <c r="H2"/>
      <c r="J2" s="177"/>
    </row>
    <row r="3" spans="1:11" x14ac:dyDescent="0.25">
      <c r="A3" s="66"/>
      <c r="B3" s="169"/>
      <c r="C3" s="68"/>
      <c r="D3" s="213"/>
      <c r="E3" s="175"/>
      <c r="F3" s="300"/>
      <c r="H3"/>
      <c r="J3" s="178"/>
    </row>
    <row r="4" spans="1:11" x14ac:dyDescent="0.25">
      <c r="A4" s="3"/>
      <c r="B4" s="169"/>
      <c r="C4" s="68"/>
      <c r="D4" s="172"/>
      <c r="E4" s="175"/>
      <c r="F4" s="300"/>
      <c r="J4" s="177"/>
    </row>
    <row r="5" spans="1:11" x14ac:dyDescent="0.25">
      <c r="A5" s="66"/>
      <c r="B5" s="169"/>
      <c r="C5" s="68"/>
      <c r="D5" s="172"/>
      <c r="E5" s="175"/>
      <c r="F5" s="300"/>
      <c r="J5" s="178"/>
    </row>
    <row r="6" spans="1:11" x14ac:dyDescent="0.25">
      <c r="A6" s="66"/>
      <c r="B6" s="169"/>
      <c r="C6" s="68"/>
      <c r="D6" s="173"/>
      <c r="E6" s="175"/>
      <c r="F6" s="300"/>
      <c r="J6" s="177"/>
    </row>
    <row r="7" spans="1:11" x14ac:dyDescent="0.25">
      <c r="A7" s="66"/>
      <c r="B7" s="169"/>
      <c r="C7" s="68"/>
      <c r="D7" s="205"/>
      <c r="F7" s="300"/>
      <c r="G7"/>
      <c r="H7"/>
      <c r="J7" s="216"/>
    </row>
    <row r="8" spans="1:11" x14ac:dyDescent="0.25">
      <c r="A8" s="3"/>
      <c r="B8" s="169"/>
      <c r="C8" s="68"/>
      <c r="D8" s="213"/>
      <c r="F8" s="300"/>
      <c r="H8"/>
      <c r="J8" s="177"/>
    </row>
    <row r="9" spans="1:11" x14ac:dyDescent="0.25">
      <c r="A9" s="3"/>
      <c r="B9" s="169"/>
      <c r="C9" s="68"/>
      <c r="D9" s="213"/>
      <c r="F9" s="300"/>
      <c r="H9"/>
      <c r="J9" s="178"/>
    </row>
    <row r="10" spans="1:11" x14ac:dyDescent="0.25">
      <c r="A10" s="3"/>
      <c r="B10" s="169"/>
      <c r="C10" s="68"/>
      <c r="D10" s="214"/>
      <c r="F10" s="300"/>
      <c r="H10"/>
    </row>
    <row r="11" spans="1:11" x14ac:dyDescent="0.25">
      <c r="A11" s="3"/>
      <c r="B11" s="169"/>
      <c r="C11" s="68"/>
      <c r="D11" s="214"/>
      <c r="F11" s="300"/>
      <c r="H11"/>
    </row>
    <row r="12" spans="1:11" x14ac:dyDescent="0.25">
      <c r="A12" s="3"/>
      <c r="B12" s="169"/>
      <c r="C12" s="68"/>
      <c r="D12" s="214"/>
      <c r="F12" s="300"/>
      <c r="H12"/>
    </row>
    <row r="13" spans="1:11" x14ac:dyDescent="0.25">
      <c r="A13" s="3"/>
      <c r="B13" s="209"/>
      <c r="C13" s="184"/>
      <c r="D13" s="210"/>
      <c r="F13" s="300"/>
      <c r="H13" s="211"/>
      <c r="I13" s="211"/>
    </row>
    <row r="14" spans="1:11" x14ac:dyDescent="0.25">
      <c r="A14" s="3"/>
      <c r="B14" s="169"/>
      <c r="C14" s="68"/>
      <c r="D14" s="214"/>
      <c r="F14" s="300"/>
      <c r="H14"/>
    </row>
    <row r="15" spans="1:11" x14ac:dyDescent="0.25">
      <c r="A15" s="3"/>
      <c r="B15" s="169"/>
      <c r="C15" s="68"/>
      <c r="D15" s="204"/>
      <c r="E15" s="215"/>
      <c r="F15" s="300"/>
      <c r="H15"/>
    </row>
    <row r="16" spans="1:11" x14ac:dyDescent="0.25">
      <c r="A16" s="3"/>
      <c r="B16" s="169"/>
      <c r="C16" s="68"/>
      <c r="D16" s="204"/>
      <c r="E16" s="215"/>
      <c r="F16" s="300"/>
    </row>
    <row r="17" spans="1:9" x14ac:dyDescent="0.25">
      <c r="A17" s="3"/>
      <c r="B17" s="169"/>
      <c r="C17" s="68"/>
      <c r="D17" s="69"/>
      <c r="F17" s="300"/>
    </row>
    <row r="18" spans="1:9" x14ac:dyDescent="0.25">
      <c r="A18" s="66"/>
      <c r="B18" s="169"/>
      <c r="C18" s="68"/>
      <c r="D18" s="204"/>
      <c r="E18" s="215"/>
      <c r="F18" s="300"/>
      <c r="G18" s="237"/>
      <c r="H18"/>
    </row>
    <row r="19" spans="1:9" x14ac:dyDescent="0.25">
      <c r="A19" s="3"/>
      <c r="B19" s="169"/>
      <c r="C19" s="68"/>
      <c r="D19" s="204"/>
      <c r="F19" s="300"/>
      <c r="H19"/>
    </row>
    <row r="20" spans="1:9" x14ac:dyDescent="0.25">
      <c r="A20" s="3"/>
      <c r="B20" s="169"/>
      <c r="C20" s="68"/>
      <c r="D20" s="204"/>
      <c r="F20" s="300"/>
      <c r="H20"/>
    </row>
    <row r="21" spans="1:9" x14ac:dyDescent="0.25">
      <c r="A21" s="3"/>
      <c r="B21" s="169"/>
      <c r="C21" s="68"/>
      <c r="D21" s="204"/>
      <c r="F21" s="300"/>
      <c r="H21"/>
    </row>
    <row r="22" spans="1:9" x14ac:dyDescent="0.25">
      <c r="A22" s="3"/>
      <c r="B22" s="209"/>
      <c r="C22" s="184"/>
      <c r="D22" s="210"/>
      <c r="E22" s="260"/>
      <c r="F22" s="301"/>
      <c r="G22" s="211"/>
      <c r="H22" s="211"/>
      <c r="I22" s="211"/>
    </row>
    <row r="23" spans="1:9" x14ac:dyDescent="0.25">
      <c r="A23" s="3"/>
      <c r="B23" s="169"/>
      <c r="C23" s="68"/>
      <c r="D23" s="204"/>
      <c r="E23" s="259"/>
      <c r="F23" s="300"/>
      <c r="H23"/>
    </row>
    <row r="24" spans="1:9" x14ac:dyDescent="0.25">
      <c r="A24" s="3"/>
      <c r="B24" s="169"/>
      <c r="C24" s="68"/>
      <c r="D24" s="69"/>
      <c r="F24" s="300"/>
    </row>
    <row r="25" spans="1:9" x14ac:dyDescent="0.25">
      <c r="A25" s="66"/>
      <c r="B25" s="209"/>
      <c r="C25" s="184"/>
      <c r="D25" s="210"/>
      <c r="E25" s="260"/>
      <c r="F25" s="301"/>
      <c r="G25" s="211"/>
      <c r="H25" s="211"/>
      <c r="I25" s="211"/>
    </row>
    <row r="26" spans="1:9" x14ac:dyDescent="0.25">
      <c r="A26" s="3"/>
      <c r="B26" s="169"/>
      <c r="C26" s="68"/>
      <c r="D26" s="204"/>
      <c r="F26" s="300"/>
      <c r="H26"/>
    </row>
    <row r="27" spans="1:9" x14ac:dyDescent="0.25">
      <c r="A27" s="3"/>
      <c r="B27" s="169"/>
      <c r="C27" s="68"/>
      <c r="D27" s="204"/>
      <c r="F27" s="300"/>
      <c r="H27"/>
    </row>
    <row r="28" spans="1:9" x14ac:dyDescent="0.25">
      <c r="A28" s="3"/>
      <c r="B28" s="169"/>
      <c r="C28" s="68"/>
      <c r="D28" s="69"/>
      <c r="F28" s="300"/>
    </row>
    <row r="29" spans="1:9" x14ac:dyDescent="0.25">
      <c r="A29" s="66"/>
      <c r="B29" s="169"/>
      <c r="C29" s="68"/>
      <c r="D29" s="204"/>
      <c r="E29" s="259"/>
      <c r="F29" s="300"/>
      <c r="H29"/>
    </row>
    <row r="30" spans="1:9" x14ac:dyDescent="0.25">
      <c r="A30" s="3"/>
      <c r="B30" s="169"/>
      <c r="C30" s="68"/>
      <c r="D30" s="204"/>
      <c r="F30" s="300"/>
      <c r="H30"/>
    </row>
    <row r="31" spans="1:9" x14ac:dyDescent="0.25">
      <c r="A31" s="3"/>
      <c r="B31" s="169"/>
      <c r="C31" s="68"/>
      <c r="D31" s="204"/>
      <c r="F31" s="300"/>
      <c r="H31"/>
    </row>
    <row r="32" spans="1:9" x14ac:dyDescent="0.25">
      <c r="A32" s="3"/>
      <c r="B32" s="169"/>
      <c r="C32" s="68"/>
      <c r="D32" s="69"/>
      <c r="E32" s="259"/>
      <c r="F32" s="300"/>
      <c r="H32"/>
    </row>
    <row r="33" spans="1:8" x14ac:dyDescent="0.25">
      <c r="A33" s="3"/>
      <c r="B33" s="169"/>
      <c r="C33" s="68"/>
      <c r="D33" s="69"/>
      <c r="F33" s="300"/>
    </row>
    <row r="34" spans="1:8" x14ac:dyDescent="0.25">
      <c r="A34" s="66"/>
      <c r="B34" s="169"/>
      <c r="C34" s="68"/>
      <c r="D34" s="204"/>
      <c r="F34" s="300"/>
      <c r="H34"/>
    </row>
    <row r="35" spans="1:8" x14ac:dyDescent="0.25">
      <c r="A35" s="3"/>
      <c r="B35" s="169"/>
      <c r="C35" s="68"/>
      <c r="D35" s="204"/>
      <c r="E35" s="259"/>
      <c r="F35" s="300"/>
      <c r="H35"/>
    </row>
    <row r="36" spans="1:8" x14ac:dyDescent="0.25">
      <c r="A36" s="3"/>
      <c r="B36" s="169"/>
      <c r="C36" s="68"/>
      <c r="D36" s="69"/>
      <c r="F36" s="300"/>
    </row>
    <row r="37" spans="1:8" x14ac:dyDescent="0.25">
      <c r="A37" s="66"/>
      <c r="B37" s="169"/>
      <c r="C37" s="68"/>
      <c r="D37" s="204"/>
      <c r="F37" s="300"/>
      <c r="H37"/>
    </row>
    <row r="38" spans="1:8" x14ac:dyDescent="0.25">
      <c r="A38" s="3"/>
      <c r="B38" s="169"/>
      <c r="C38" s="68"/>
      <c r="D38" s="69"/>
      <c r="F38" s="300"/>
    </row>
    <row r="39" spans="1:8" x14ac:dyDescent="0.25">
      <c r="A39" s="66"/>
      <c r="B39" s="169"/>
      <c r="C39" s="68"/>
      <c r="D39" s="204"/>
      <c r="E39" s="259"/>
      <c r="F39" s="300"/>
      <c r="H39"/>
    </row>
    <row r="40" spans="1:8" x14ac:dyDescent="0.25">
      <c r="A40" s="3"/>
      <c r="B40" s="169"/>
      <c r="C40" s="68"/>
      <c r="D40" s="204"/>
      <c r="F40" s="300"/>
      <c r="H40"/>
    </row>
    <row r="41" spans="1:8" x14ac:dyDescent="0.25">
      <c r="A41" s="3"/>
      <c r="B41" s="169"/>
      <c r="C41" s="68"/>
      <c r="D41" s="204"/>
      <c r="F41" s="300"/>
      <c r="H41"/>
    </row>
    <row r="42" spans="1:8" x14ac:dyDescent="0.25">
      <c r="A42" s="3"/>
      <c r="B42" s="169"/>
      <c r="C42" s="68"/>
      <c r="D42" s="204"/>
      <c r="F42" s="300"/>
      <c r="H42"/>
    </row>
    <row r="43" spans="1:8" x14ac:dyDescent="0.25">
      <c r="A43" s="3"/>
      <c r="B43" s="169"/>
      <c r="C43" s="68"/>
      <c r="D43" s="69"/>
      <c r="F43" s="300"/>
    </row>
    <row r="44" spans="1:8" x14ac:dyDescent="0.25">
      <c r="A44" s="3"/>
      <c r="B44" s="169"/>
      <c r="C44" s="68"/>
      <c r="D44" s="69"/>
      <c r="F44" s="300"/>
    </row>
    <row r="45" spans="1:8" x14ac:dyDescent="0.25">
      <c r="A45" s="3"/>
      <c r="B45" s="169"/>
      <c r="C45" s="68"/>
      <c r="D45" s="69"/>
    </row>
    <row r="46" spans="1:8" x14ac:dyDescent="0.25">
      <c r="A46" s="3"/>
      <c r="B46" s="169"/>
      <c r="C46" s="68"/>
      <c r="D46" s="69"/>
    </row>
    <row r="47" spans="1:8" x14ac:dyDescent="0.25">
      <c r="A47" s="3"/>
      <c r="B47" s="169"/>
      <c r="C47" s="68"/>
      <c r="D47" s="69"/>
    </row>
    <row r="48" spans="1:8" x14ac:dyDescent="0.25">
      <c r="A48" s="3"/>
      <c r="B48" s="169"/>
      <c r="C48" s="68"/>
      <c r="D48" s="69"/>
    </row>
    <row r="49" spans="1:4" x14ac:dyDescent="0.25">
      <c r="A49" s="3"/>
      <c r="B49" s="169"/>
      <c r="C49" s="68"/>
      <c r="D49" s="69"/>
    </row>
    <row r="50" spans="1:4" x14ac:dyDescent="0.25">
      <c r="A50" s="3"/>
      <c r="B50" s="169"/>
      <c r="C50" s="68"/>
      <c r="D50" s="69"/>
    </row>
    <row r="51" spans="1:4" x14ac:dyDescent="0.25">
      <c r="A51" s="3"/>
      <c r="B51" s="169"/>
      <c r="C51" s="68"/>
      <c r="D51" s="69"/>
    </row>
    <row r="52" spans="1:4" x14ac:dyDescent="0.25">
      <c r="A52" s="3"/>
      <c r="B52" s="169"/>
      <c r="C52" s="68"/>
      <c r="D52" s="69"/>
    </row>
    <row r="53" spans="1:4" x14ac:dyDescent="0.25">
      <c r="A53" s="3"/>
      <c r="B53" s="169"/>
      <c r="C53" s="68"/>
      <c r="D53" s="69"/>
    </row>
    <row r="54" spans="1:4" x14ac:dyDescent="0.25">
      <c r="A54" s="3"/>
      <c r="B54" s="169"/>
      <c r="C54" s="68"/>
      <c r="D54" s="69"/>
    </row>
    <row r="55" spans="1:4" x14ac:dyDescent="0.25">
      <c r="A55" s="3"/>
      <c r="B55" s="169"/>
      <c r="C55" s="68"/>
      <c r="D55" s="69"/>
    </row>
    <row r="56" spans="1:4" x14ac:dyDescent="0.25">
      <c r="A56" s="3"/>
      <c r="B56" s="169"/>
      <c r="C56" s="68"/>
      <c r="D56" s="69"/>
    </row>
    <row r="57" spans="1:4" x14ac:dyDescent="0.25">
      <c r="A57" s="3"/>
      <c r="B57" s="169"/>
      <c r="C57" s="68"/>
      <c r="D57" s="69"/>
    </row>
    <row r="58" spans="1:4" x14ac:dyDescent="0.25">
      <c r="A58" s="3"/>
      <c r="B58" s="169"/>
      <c r="C58" s="68"/>
      <c r="D58" s="69"/>
    </row>
    <row r="59" spans="1:4" x14ac:dyDescent="0.25">
      <c r="A59" s="3"/>
      <c r="B59" s="169"/>
      <c r="C59" s="68"/>
      <c r="D59" s="69"/>
    </row>
    <row r="60" spans="1:4" x14ac:dyDescent="0.25">
      <c r="A60" s="3"/>
      <c r="B60" s="169"/>
      <c r="C60" s="68"/>
      <c r="D60" s="69"/>
    </row>
    <row r="61" spans="1:4" x14ac:dyDescent="0.25">
      <c r="A61" s="3"/>
      <c r="B61" s="169"/>
      <c r="C61" s="68"/>
      <c r="D61" s="69"/>
    </row>
    <row r="62" spans="1:4" x14ac:dyDescent="0.25">
      <c r="A62" s="3"/>
      <c r="B62" s="169"/>
      <c r="C62" s="68"/>
      <c r="D62" s="69"/>
    </row>
    <row r="63" spans="1:4" x14ac:dyDescent="0.25">
      <c r="A63" s="3"/>
      <c r="B63" s="169"/>
      <c r="C63" s="68"/>
      <c r="D63" s="69"/>
    </row>
    <row r="64" spans="1:4" x14ac:dyDescent="0.25">
      <c r="A64" s="3"/>
      <c r="B64" s="169"/>
      <c r="C64" s="68"/>
      <c r="D64" s="69"/>
    </row>
    <row r="65" spans="1:4" x14ac:dyDescent="0.25">
      <c r="A65" s="3"/>
      <c r="B65" s="169"/>
      <c r="C65" s="68"/>
      <c r="D65" s="69"/>
    </row>
    <row r="66" spans="1:4" x14ac:dyDescent="0.25">
      <c r="A66" s="3"/>
      <c r="B66" s="169"/>
      <c r="C66" s="68"/>
      <c r="D66" s="69"/>
    </row>
    <row r="67" spans="1:4" x14ac:dyDescent="0.25">
      <c r="A67" s="3"/>
      <c r="B67" s="169"/>
      <c r="C67" s="68"/>
      <c r="D67" s="69"/>
    </row>
    <row r="68" spans="1:4" x14ac:dyDescent="0.25">
      <c r="A68" s="3"/>
      <c r="B68" s="169"/>
      <c r="C68" s="68"/>
      <c r="D68" s="69"/>
    </row>
    <row r="69" spans="1:4" x14ac:dyDescent="0.25">
      <c r="A69" s="3"/>
      <c r="B69" s="169"/>
      <c r="C69" s="68"/>
      <c r="D69" s="69"/>
    </row>
    <row r="70" spans="1:4" x14ac:dyDescent="0.25">
      <c r="A70" s="3"/>
      <c r="B70" s="169"/>
      <c r="C70" s="68"/>
      <c r="D70" s="69"/>
    </row>
    <row r="71" spans="1:4" x14ac:dyDescent="0.25">
      <c r="A71" s="3"/>
      <c r="B71" s="169"/>
      <c r="C71" s="68"/>
      <c r="D71" s="69"/>
    </row>
    <row r="72" spans="1:4" x14ac:dyDescent="0.25">
      <c r="A72" s="3"/>
      <c r="B72" s="169"/>
      <c r="C72" s="68"/>
      <c r="D72" s="69"/>
    </row>
    <row r="73" spans="1:4" x14ac:dyDescent="0.25">
      <c r="A73" s="3"/>
      <c r="B73" s="169"/>
      <c r="C73" s="68"/>
      <c r="D73" s="69"/>
    </row>
    <row r="74" spans="1:4" x14ac:dyDescent="0.25">
      <c r="A74" s="3"/>
      <c r="B74" s="169"/>
      <c r="C74" s="68"/>
      <c r="D74" s="69"/>
    </row>
    <row r="75" spans="1:4" x14ac:dyDescent="0.25">
      <c r="A75" s="3"/>
      <c r="B75" s="169"/>
      <c r="C75" s="68"/>
      <c r="D75" s="69"/>
    </row>
    <row r="76" spans="1:4" x14ac:dyDescent="0.25">
      <c r="A76" s="3"/>
      <c r="B76" s="169"/>
      <c r="C76" s="68"/>
      <c r="D76" s="69"/>
    </row>
    <row r="77" spans="1:4" x14ac:dyDescent="0.25">
      <c r="A77" s="3"/>
      <c r="B77" s="169"/>
      <c r="C77" s="68"/>
      <c r="D77" s="69"/>
    </row>
    <row r="78" spans="1:4" x14ac:dyDescent="0.25">
      <c r="A78" s="3"/>
      <c r="B78" s="169"/>
      <c r="C78" s="68"/>
      <c r="D78" s="69"/>
    </row>
    <row r="79" spans="1:4" x14ac:dyDescent="0.25">
      <c r="A79" s="3"/>
      <c r="B79" s="169"/>
      <c r="C79" s="68"/>
      <c r="D79" s="69"/>
    </row>
    <row r="80" spans="1:4" x14ac:dyDescent="0.25">
      <c r="A80" s="3"/>
      <c r="B80" s="169"/>
      <c r="C80" s="68"/>
      <c r="D80" s="69"/>
    </row>
    <row r="81" spans="1:4" x14ac:dyDescent="0.25">
      <c r="A81" s="3"/>
      <c r="B81" s="169"/>
      <c r="C81" s="68"/>
      <c r="D81" s="69"/>
    </row>
    <row r="82" spans="1:4" x14ac:dyDescent="0.25">
      <c r="A82" s="3"/>
      <c r="B82" s="169"/>
      <c r="C82" s="68"/>
      <c r="D82" s="69"/>
    </row>
    <row r="83" spans="1:4" x14ac:dyDescent="0.25">
      <c r="A83" s="3"/>
      <c r="B83" s="169"/>
      <c r="C83" s="68"/>
      <c r="D83" s="69"/>
    </row>
    <row r="84" spans="1:4" x14ac:dyDescent="0.25">
      <c r="A84" s="3"/>
      <c r="B84" s="169"/>
      <c r="C84" s="68"/>
      <c r="D84" s="69"/>
    </row>
    <row r="85" spans="1:4" x14ac:dyDescent="0.25">
      <c r="A85" s="3"/>
      <c r="B85" s="169"/>
      <c r="C85" s="68"/>
      <c r="D85" s="69"/>
    </row>
    <row r="86" spans="1:4" x14ac:dyDescent="0.25">
      <c r="A86" s="3"/>
      <c r="B86" s="169"/>
      <c r="C86" s="68"/>
      <c r="D86" s="69"/>
    </row>
    <row r="87" spans="1:4" x14ac:dyDescent="0.25">
      <c r="A87" s="3"/>
      <c r="B87" s="169"/>
      <c r="C87" s="68"/>
      <c r="D87" s="69"/>
    </row>
    <row r="88" spans="1:4" x14ac:dyDescent="0.25">
      <c r="A88" s="3"/>
      <c r="B88" s="169"/>
      <c r="C88" s="68"/>
      <c r="D88" s="69"/>
    </row>
    <row r="89" spans="1:4" x14ac:dyDescent="0.25">
      <c r="A89" s="3"/>
      <c r="B89" s="169"/>
      <c r="C89" s="68"/>
      <c r="D89" s="69"/>
    </row>
    <row r="90" spans="1:4" x14ac:dyDescent="0.25">
      <c r="A90" s="3"/>
      <c r="B90" s="169"/>
      <c r="C90" s="68"/>
      <c r="D90" s="69"/>
    </row>
    <row r="91" spans="1:4" x14ac:dyDescent="0.25">
      <c r="A91" s="3"/>
      <c r="B91" s="169"/>
      <c r="C91" s="68"/>
      <c r="D91" s="69"/>
    </row>
    <row r="92" spans="1:4" x14ac:dyDescent="0.25">
      <c r="A92" s="3"/>
      <c r="B92" s="169"/>
      <c r="C92" s="68"/>
      <c r="D92" s="69"/>
    </row>
    <row r="93" spans="1:4" x14ac:dyDescent="0.25">
      <c r="A93" s="3"/>
      <c r="B93" s="169"/>
      <c r="C93" s="68"/>
      <c r="D93" s="69"/>
    </row>
    <row r="94" spans="1:4" x14ac:dyDescent="0.25">
      <c r="A94" s="3"/>
      <c r="B94" s="169"/>
      <c r="C94" s="68"/>
      <c r="D94" s="69"/>
    </row>
    <row r="95" spans="1:4" x14ac:dyDescent="0.25">
      <c r="A95" s="3"/>
      <c r="B95" s="169"/>
      <c r="C95" s="68"/>
      <c r="D95" s="69"/>
    </row>
    <row r="96" spans="1:4" x14ac:dyDescent="0.25">
      <c r="A96" s="3"/>
      <c r="B96" s="169"/>
      <c r="C96" s="68"/>
      <c r="D96" s="69"/>
    </row>
    <row r="97" spans="1:4" x14ac:dyDescent="0.25">
      <c r="A97" s="3"/>
      <c r="B97" s="169"/>
      <c r="C97" s="68"/>
      <c r="D97" s="69"/>
    </row>
    <row r="98" spans="1:4" x14ac:dyDescent="0.25">
      <c r="A98" s="3"/>
      <c r="B98" s="169"/>
      <c r="C98" s="68"/>
      <c r="D98" s="69"/>
    </row>
    <row r="99" spans="1:4" x14ac:dyDescent="0.25">
      <c r="A99" s="3"/>
      <c r="B99" s="169"/>
      <c r="C99" s="68"/>
      <c r="D99" s="69"/>
    </row>
    <row r="100" spans="1:4" x14ac:dyDescent="0.25">
      <c r="A100" s="3"/>
      <c r="B100" s="169"/>
      <c r="C100" s="68"/>
      <c r="D100" s="69"/>
    </row>
    <row r="101" spans="1:4" x14ac:dyDescent="0.25">
      <c r="A101" s="3"/>
      <c r="B101" s="169"/>
      <c r="C101" s="68"/>
      <c r="D101" s="69"/>
    </row>
    <row r="102" spans="1:4" x14ac:dyDescent="0.25">
      <c r="A102" s="3"/>
      <c r="B102" s="169"/>
      <c r="C102" s="68"/>
      <c r="D102" s="69"/>
    </row>
    <row r="103" spans="1:4" x14ac:dyDescent="0.25">
      <c r="A103" s="3"/>
      <c r="B103" s="169"/>
      <c r="C103" s="68"/>
      <c r="D103" s="69"/>
    </row>
    <row r="104" spans="1:4" x14ac:dyDescent="0.25">
      <c r="A104" s="3"/>
      <c r="B104" s="169"/>
      <c r="C104" s="68"/>
      <c r="D104" s="69"/>
    </row>
    <row r="105" spans="1:4" x14ac:dyDescent="0.25">
      <c r="A105" s="3"/>
      <c r="B105" s="169"/>
      <c r="C105" s="68"/>
      <c r="D105" s="69"/>
    </row>
    <row r="106" spans="1:4" x14ac:dyDescent="0.25">
      <c r="A106" s="3"/>
      <c r="B106" s="169"/>
      <c r="C106" s="68"/>
      <c r="D106" s="69"/>
    </row>
    <row r="107" spans="1:4" x14ac:dyDescent="0.25">
      <c r="A107" s="3"/>
      <c r="B107" s="169"/>
      <c r="C107" s="68"/>
      <c r="D107" s="69"/>
    </row>
    <row r="108" spans="1:4" x14ac:dyDescent="0.25">
      <c r="A108" s="3"/>
      <c r="B108" s="169"/>
      <c r="C108" s="68"/>
      <c r="D108" s="69"/>
    </row>
    <row r="109" spans="1:4" x14ac:dyDescent="0.25">
      <c r="A109" s="3"/>
      <c r="B109" s="169"/>
      <c r="C109" s="68"/>
      <c r="D109" s="69"/>
    </row>
    <row r="110" spans="1:4" x14ac:dyDescent="0.25">
      <c r="A110" s="3"/>
      <c r="B110" s="169"/>
      <c r="C110" s="68"/>
      <c r="D110" s="69"/>
    </row>
    <row r="111" spans="1:4" x14ac:dyDescent="0.25">
      <c r="A111" s="3"/>
      <c r="B111" s="169"/>
      <c r="C111" s="68"/>
      <c r="D111" s="69"/>
    </row>
    <row r="112" spans="1:4" x14ac:dyDescent="0.25">
      <c r="A112" s="3"/>
      <c r="B112" s="169"/>
      <c r="C112" s="68"/>
      <c r="D112" s="69"/>
    </row>
    <row r="113" spans="1:4" x14ac:dyDescent="0.25">
      <c r="A113" s="3"/>
      <c r="B113" s="169"/>
      <c r="C113" s="68"/>
      <c r="D113" s="69"/>
    </row>
    <row r="114" spans="1:4" x14ac:dyDescent="0.25">
      <c r="A114" s="3"/>
      <c r="B114" s="169"/>
      <c r="C114" s="68"/>
      <c r="D114" s="69"/>
    </row>
    <row r="115" spans="1:4" x14ac:dyDescent="0.25">
      <c r="A115" s="3"/>
      <c r="B115" s="169"/>
      <c r="C115" s="68"/>
      <c r="D115" s="69"/>
    </row>
    <row r="116" spans="1:4" x14ac:dyDescent="0.25">
      <c r="A116" s="3"/>
      <c r="B116" s="169"/>
      <c r="C116" s="68"/>
      <c r="D116" s="69"/>
    </row>
    <row r="117" spans="1:4" x14ac:dyDescent="0.25">
      <c r="A117" s="3"/>
      <c r="B117" s="169"/>
      <c r="C117" s="68"/>
      <c r="D117" s="69"/>
    </row>
    <row r="118" spans="1:4" x14ac:dyDescent="0.25">
      <c r="A118" s="3"/>
      <c r="B118" s="169"/>
      <c r="C118" s="68"/>
      <c r="D118" s="69"/>
    </row>
    <row r="119" spans="1:4" x14ac:dyDescent="0.25">
      <c r="A119" s="3"/>
      <c r="B119" s="169"/>
      <c r="C119" s="68"/>
      <c r="D119" s="69"/>
    </row>
    <row r="120" spans="1:4" x14ac:dyDescent="0.25">
      <c r="A120" s="3"/>
      <c r="B120" s="169"/>
      <c r="C120" s="68"/>
      <c r="D120" s="69"/>
    </row>
    <row r="121" spans="1:4" x14ac:dyDescent="0.25">
      <c r="A121" s="3"/>
      <c r="B121" s="169"/>
      <c r="C121" s="68"/>
      <c r="D121" s="69"/>
    </row>
    <row r="122" spans="1:4" x14ac:dyDescent="0.25">
      <c r="A122" s="3"/>
      <c r="B122" s="169"/>
      <c r="C122" s="68"/>
      <c r="D122" s="69"/>
    </row>
    <row r="123" spans="1:4" x14ac:dyDescent="0.25">
      <c r="A123" s="3"/>
      <c r="B123" s="169"/>
      <c r="C123" s="68"/>
      <c r="D123" s="69"/>
    </row>
    <row r="124" spans="1:4" x14ac:dyDescent="0.25">
      <c r="A124" s="3"/>
      <c r="B124" s="169"/>
      <c r="C124" s="68"/>
      <c r="D124" s="69"/>
    </row>
    <row r="125" spans="1:4" x14ac:dyDescent="0.25">
      <c r="A125" s="3"/>
      <c r="B125" s="169"/>
      <c r="C125" s="68"/>
      <c r="D125" s="69"/>
    </row>
    <row r="126" spans="1:4" x14ac:dyDescent="0.25">
      <c r="A126" s="3"/>
      <c r="B126" s="169"/>
      <c r="C126" s="68"/>
      <c r="D126" s="69"/>
    </row>
    <row r="127" spans="1:4" x14ac:dyDescent="0.25">
      <c r="A127" s="3"/>
      <c r="B127" s="169"/>
      <c r="C127" s="68"/>
      <c r="D127" s="69"/>
    </row>
    <row r="128" spans="1:4" x14ac:dyDescent="0.25">
      <c r="A128" s="3"/>
      <c r="B128" s="169"/>
      <c r="C128" s="68"/>
      <c r="D128" s="69"/>
    </row>
    <row r="129" spans="1:4" x14ac:dyDescent="0.25">
      <c r="A129" s="3"/>
      <c r="B129" s="169"/>
      <c r="C129" s="68"/>
      <c r="D129" s="69"/>
    </row>
    <row r="130" spans="1:4" x14ac:dyDescent="0.25">
      <c r="A130" s="3"/>
      <c r="B130" s="169"/>
      <c r="C130" s="68"/>
      <c r="D130" s="69"/>
    </row>
    <row r="131" spans="1:4" x14ac:dyDescent="0.25">
      <c r="A131" s="3"/>
      <c r="B131" s="169"/>
      <c r="C131" s="68"/>
      <c r="D131" s="69"/>
    </row>
    <row r="132" spans="1:4" x14ac:dyDescent="0.25">
      <c r="A132" s="3"/>
      <c r="B132" s="169"/>
      <c r="C132" s="68"/>
      <c r="D132" s="69"/>
    </row>
    <row r="133" spans="1:4" x14ac:dyDescent="0.25">
      <c r="A133" s="3"/>
      <c r="B133" s="169"/>
      <c r="C133" s="68"/>
      <c r="D133" s="69"/>
    </row>
    <row r="134" spans="1:4" x14ac:dyDescent="0.25">
      <c r="A134" s="3"/>
      <c r="B134" s="169"/>
      <c r="C134" s="68"/>
      <c r="D134" s="69"/>
    </row>
    <row r="135" spans="1:4" x14ac:dyDescent="0.25">
      <c r="A135" s="3"/>
      <c r="B135" s="169"/>
      <c r="C135" s="68"/>
      <c r="D135" s="69"/>
    </row>
    <row r="136" spans="1:4" x14ac:dyDescent="0.25">
      <c r="A136" s="3"/>
      <c r="B136" s="169"/>
      <c r="C136" s="68"/>
      <c r="D136" s="69"/>
    </row>
    <row r="137" spans="1:4" x14ac:dyDescent="0.25">
      <c r="A137" s="3"/>
      <c r="B137" s="169"/>
      <c r="C137" s="68"/>
      <c r="D137" s="69"/>
    </row>
    <row r="138" spans="1:4" x14ac:dyDescent="0.25">
      <c r="A138" s="3"/>
      <c r="B138" s="169"/>
      <c r="C138" s="68"/>
      <c r="D138" s="69"/>
    </row>
    <row r="139" spans="1:4" x14ac:dyDescent="0.25">
      <c r="A139" s="3"/>
      <c r="B139" s="169"/>
      <c r="C139" s="68"/>
      <c r="D139" s="69"/>
    </row>
    <row r="140" spans="1:4" x14ac:dyDescent="0.25">
      <c r="A140" s="3"/>
      <c r="B140" s="169"/>
      <c r="C140" s="68"/>
      <c r="D140" s="69"/>
    </row>
    <row r="141" spans="1:4" x14ac:dyDescent="0.25">
      <c r="A141" s="3"/>
      <c r="B141" s="169"/>
      <c r="C141" s="68"/>
      <c r="D141" s="69"/>
    </row>
    <row r="142" spans="1:4" x14ac:dyDescent="0.25">
      <c r="A142" s="3"/>
      <c r="B142" s="169"/>
      <c r="C142" s="68"/>
      <c r="D142" s="69"/>
    </row>
    <row r="143" spans="1:4" x14ac:dyDescent="0.25">
      <c r="A143" s="3"/>
      <c r="B143" s="169"/>
      <c r="C143" s="68"/>
      <c r="D143" s="69"/>
    </row>
    <row r="144" spans="1:4" x14ac:dyDescent="0.25">
      <c r="A144" s="3"/>
      <c r="B144" s="169"/>
      <c r="C144" s="68"/>
      <c r="D144" s="69"/>
    </row>
    <row r="145" spans="1:4" x14ac:dyDescent="0.25">
      <c r="A145" s="3"/>
      <c r="B145" s="169"/>
      <c r="C145" s="68"/>
      <c r="D145" s="69"/>
    </row>
    <row r="146" spans="1:4" x14ac:dyDescent="0.25">
      <c r="A146" s="3"/>
      <c r="B146" s="169"/>
      <c r="C146" s="68"/>
      <c r="D146" s="69"/>
    </row>
    <row r="147" spans="1:4" x14ac:dyDescent="0.25">
      <c r="A147" s="3"/>
      <c r="B147" s="169"/>
      <c r="C147" s="68"/>
      <c r="D147" s="69"/>
    </row>
    <row r="148" spans="1:4" x14ac:dyDescent="0.25">
      <c r="A148" s="3"/>
      <c r="B148" s="169"/>
      <c r="C148" s="68"/>
      <c r="D148" s="69"/>
    </row>
    <row r="149" spans="1:4" x14ac:dyDescent="0.25">
      <c r="A149" s="3"/>
      <c r="B149" s="169"/>
      <c r="C149" s="68"/>
      <c r="D149" s="69"/>
    </row>
    <row r="150" spans="1:4" x14ac:dyDescent="0.25">
      <c r="A150" s="3"/>
      <c r="B150" s="169"/>
      <c r="C150" s="68"/>
      <c r="D150" s="69"/>
    </row>
    <row r="151" spans="1:4" x14ac:dyDescent="0.25">
      <c r="A151" s="3"/>
      <c r="B151" s="169"/>
      <c r="C151" s="68"/>
      <c r="D151" s="69"/>
    </row>
    <row r="152" spans="1:4" x14ac:dyDescent="0.25">
      <c r="A152" s="3"/>
      <c r="B152" s="169"/>
      <c r="C152" s="68"/>
      <c r="D152" s="69"/>
    </row>
    <row r="153" spans="1:4" x14ac:dyDescent="0.25">
      <c r="A153" s="3"/>
      <c r="B153" s="169"/>
      <c r="C153" s="68"/>
      <c r="D153" s="69"/>
    </row>
    <row r="154" spans="1:4" x14ac:dyDescent="0.25">
      <c r="A154" s="3"/>
      <c r="B154" s="169"/>
      <c r="C154" s="68"/>
      <c r="D154" s="69"/>
    </row>
    <row r="155" spans="1:4" x14ac:dyDescent="0.25">
      <c r="A155" s="3"/>
      <c r="B155" s="169"/>
      <c r="C155" s="68"/>
      <c r="D155" s="69"/>
    </row>
    <row r="156" spans="1:4" x14ac:dyDescent="0.25">
      <c r="A156" s="3"/>
      <c r="B156" s="169"/>
      <c r="C156" s="68"/>
      <c r="D156" s="69"/>
    </row>
    <row r="157" spans="1:4" x14ac:dyDescent="0.25">
      <c r="A157" s="3"/>
      <c r="B157" s="169"/>
      <c r="C157" s="68"/>
      <c r="D157" s="69"/>
    </row>
    <row r="158" spans="1:4" x14ac:dyDescent="0.25">
      <c r="A158" s="3"/>
      <c r="B158" s="169"/>
      <c r="C158" s="68"/>
      <c r="D158" s="69"/>
    </row>
    <row r="159" spans="1:4" x14ac:dyDescent="0.25">
      <c r="A159" s="3"/>
      <c r="B159" s="169"/>
      <c r="C159" s="68"/>
      <c r="D159" s="69"/>
    </row>
    <row r="160" spans="1:4" x14ac:dyDescent="0.25">
      <c r="A160" s="3"/>
      <c r="B160" s="169"/>
      <c r="C160" s="68"/>
      <c r="D160" s="69"/>
    </row>
    <row r="161" spans="1:4" x14ac:dyDescent="0.25">
      <c r="A161" s="3"/>
      <c r="B161" s="169"/>
      <c r="C161" s="68"/>
      <c r="D161" s="69"/>
    </row>
    <row r="162" spans="1:4" x14ac:dyDescent="0.25">
      <c r="A162" s="3"/>
      <c r="B162" s="169"/>
      <c r="C162" s="68"/>
      <c r="D162" s="69"/>
    </row>
    <row r="163" spans="1:4" x14ac:dyDescent="0.25">
      <c r="A163" s="3"/>
      <c r="B163" s="169"/>
      <c r="C163" s="68"/>
      <c r="D163" s="69"/>
    </row>
    <row r="164" spans="1:4" x14ac:dyDescent="0.25">
      <c r="A164" s="3"/>
      <c r="B164" s="169"/>
      <c r="C164" s="68"/>
      <c r="D164" s="69"/>
    </row>
    <row r="165" spans="1:4" x14ac:dyDescent="0.25">
      <c r="A165" s="3"/>
      <c r="B165" s="169"/>
      <c r="C165" s="68"/>
      <c r="D165" s="69"/>
    </row>
    <row r="166" spans="1:4" x14ac:dyDescent="0.25">
      <c r="A166" s="3"/>
      <c r="B166" s="169"/>
      <c r="C166" s="68"/>
      <c r="D166" s="69"/>
    </row>
    <row r="167" spans="1:4" x14ac:dyDescent="0.25">
      <c r="A167" s="3"/>
      <c r="B167" s="169"/>
      <c r="C167" s="68"/>
      <c r="D167" s="69"/>
    </row>
    <row r="168" spans="1:4" x14ac:dyDescent="0.25">
      <c r="A168" s="3"/>
      <c r="B168" s="169"/>
      <c r="C168" s="68"/>
      <c r="D168" s="69"/>
    </row>
    <row r="169" spans="1:4" x14ac:dyDescent="0.25">
      <c r="A169" s="3"/>
      <c r="B169" s="169"/>
      <c r="C169" s="68"/>
      <c r="D169" s="69"/>
    </row>
    <row r="170" spans="1:4" x14ac:dyDescent="0.25">
      <c r="A170" s="3"/>
      <c r="B170" s="169"/>
      <c r="C170" s="68"/>
      <c r="D170" s="69"/>
    </row>
    <row r="171" spans="1:4" x14ac:dyDescent="0.25">
      <c r="A171" s="3"/>
      <c r="B171" s="169"/>
      <c r="C171" s="68"/>
      <c r="D171" s="69"/>
    </row>
    <row r="172" spans="1:4" x14ac:dyDescent="0.25">
      <c r="A172" s="3"/>
      <c r="B172" s="169"/>
      <c r="C172" s="68"/>
      <c r="D172" s="69"/>
    </row>
    <row r="173" spans="1:4" x14ac:dyDescent="0.25">
      <c r="A173" s="3"/>
      <c r="B173" s="169"/>
      <c r="C173" s="68"/>
      <c r="D173" s="69"/>
    </row>
    <row r="174" spans="1:4" x14ac:dyDescent="0.25">
      <c r="A174" s="3"/>
      <c r="B174" s="169"/>
      <c r="C174" s="68"/>
      <c r="D174" s="69"/>
    </row>
    <row r="175" spans="1:4" x14ac:dyDescent="0.25">
      <c r="A175" s="3"/>
      <c r="B175" s="169"/>
      <c r="C175" s="68"/>
      <c r="D175" s="69"/>
    </row>
    <row r="176" spans="1:4" x14ac:dyDescent="0.25">
      <c r="A176" s="3"/>
      <c r="B176" s="169"/>
      <c r="C176" s="68"/>
      <c r="D176" s="69"/>
    </row>
    <row r="177" spans="1:4" x14ac:dyDescent="0.25">
      <c r="A177" s="3"/>
      <c r="B177" s="169"/>
      <c r="C177" s="68"/>
      <c r="D177" s="69"/>
    </row>
    <row r="178" spans="1:4" x14ac:dyDescent="0.25">
      <c r="A178" s="3"/>
      <c r="B178" s="169"/>
      <c r="C178" s="68"/>
      <c r="D178" s="69"/>
    </row>
    <row r="179" spans="1:4" x14ac:dyDescent="0.25">
      <c r="A179" s="3"/>
      <c r="B179" s="169"/>
      <c r="C179" s="68"/>
      <c r="D179" s="69"/>
    </row>
    <row r="180" spans="1:4" x14ac:dyDescent="0.25">
      <c r="A180" s="3"/>
      <c r="B180" s="169"/>
      <c r="C180" s="68"/>
      <c r="D180" s="69"/>
    </row>
    <row r="181" spans="1:4" x14ac:dyDescent="0.25">
      <c r="A181" s="3"/>
      <c r="B181" s="169"/>
      <c r="C181" s="68"/>
      <c r="D181" s="69"/>
    </row>
    <row r="182" spans="1:4" x14ac:dyDescent="0.25">
      <c r="A182" s="3"/>
      <c r="B182" s="169"/>
      <c r="C182" s="68"/>
      <c r="D182" s="69"/>
    </row>
    <row r="183" spans="1:4" x14ac:dyDescent="0.25">
      <c r="A183" s="3"/>
      <c r="B183" s="169"/>
      <c r="C183" s="68"/>
      <c r="D183" s="69"/>
    </row>
    <row r="184" spans="1:4" x14ac:dyDescent="0.25">
      <c r="A184" s="3"/>
      <c r="B184" s="169"/>
      <c r="C184" s="68"/>
      <c r="D184" s="69"/>
    </row>
    <row r="185" spans="1:4" x14ac:dyDescent="0.25">
      <c r="A185" s="3"/>
      <c r="B185" s="169"/>
      <c r="C185" s="68"/>
      <c r="D185" s="69"/>
    </row>
    <row r="186" spans="1:4" x14ac:dyDescent="0.25">
      <c r="A186" s="3"/>
      <c r="B186" s="169"/>
      <c r="C186" s="68"/>
      <c r="D186" s="69"/>
    </row>
    <row r="187" spans="1:4" x14ac:dyDescent="0.25">
      <c r="A187" s="3"/>
      <c r="B187" s="169"/>
      <c r="C187" s="68"/>
      <c r="D187" s="69"/>
    </row>
    <row r="188" spans="1:4" x14ac:dyDescent="0.25">
      <c r="A188" s="3"/>
      <c r="B188" s="169"/>
      <c r="C188" s="68"/>
      <c r="D188" s="69"/>
    </row>
    <row r="189" spans="1:4" x14ac:dyDescent="0.25">
      <c r="A189" s="3"/>
      <c r="B189" s="169"/>
      <c r="C189" s="68"/>
      <c r="D189" s="69"/>
    </row>
    <row r="190" spans="1:4" x14ac:dyDescent="0.25">
      <c r="A190" s="3"/>
      <c r="B190" s="169"/>
      <c r="C190" s="68"/>
      <c r="D190" s="69"/>
    </row>
    <row r="191" spans="1:4" x14ac:dyDescent="0.25">
      <c r="A191" s="3"/>
      <c r="B191" s="169"/>
      <c r="C191" s="68"/>
      <c r="D191" s="69"/>
    </row>
    <row r="192" spans="1:4" x14ac:dyDescent="0.25">
      <c r="A192" s="3"/>
      <c r="B192" s="169"/>
      <c r="C192" s="68"/>
      <c r="D192" s="69"/>
    </row>
    <row r="193" spans="1:4" x14ac:dyDescent="0.25">
      <c r="A193" s="3"/>
      <c r="B193" s="169"/>
      <c r="C193" s="68"/>
      <c r="D193" s="69"/>
    </row>
    <row r="194" spans="1:4" x14ac:dyDescent="0.25">
      <c r="A194" s="3"/>
      <c r="B194" s="169"/>
      <c r="C194" s="68"/>
      <c r="D194" s="69"/>
    </row>
    <row r="195" spans="1:4" x14ac:dyDescent="0.25">
      <c r="A195" s="3"/>
      <c r="B195" s="169"/>
      <c r="C195" s="68"/>
      <c r="D195" s="69"/>
    </row>
    <row r="196" spans="1:4" x14ac:dyDescent="0.25">
      <c r="A196" s="3"/>
      <c r="B196" s="169"/>
      <c r="C196" s="68"/>
      <c r="D196" s="69"/>
    </row>
    <row r="197" spans="1:4" x14ac:dyDescent="0.25">
      <c r="A197" s="3"/>
      <c r="B197" s="169"/>
      <c r="C197" s="68"/>
      <c r="D197" s="69"/>
    </row>
    <row r="198" spans="1:4" x14ac:dyDescent="0.25">
      <c r="A198" s="3"/>
      <c r="B198" s="169"/>
      <c r="C198" s="68"/>
      <c r="D198" s="69"/>
    </row>
    <row r="199" spans="1:4" x14ac:dyDescent="0.25">
      <c r="A199" s="3"/>
      <c r="B199" s="169"/>
      <c r="C199" s="68"/>
      <c r="D199" s="69"/>
    </row>
    <row r="200" spans="1:4" x14ac:dyDescent="0.25">
      <c r="A200" s="3"/>
      <c r="B200" s="169"/>
      <c r="C200" s="68"/>
      <c r="D200" s="69"/>
    </row>
    <row r="201" spans="1:4" x14ac:dyDescent="0.25">
      <c r="A201" s="3"/>
      <c r="B201" s="169"/>
      <c r="C201" s="68"/>
      <c r="D201" s="69"/>
    </row>
    <row r="202" spans="1:4" x14ac:dyDescent="0.25">
      <c r="A202" s="3"/>
      <c r="B202" s="169"/>
      <c r="C202" s="68"/>
      <c r="D202" s="69"/>
    </row>
    <row r="203" spans="1:4" x14ac:dyDescent="0.25">
      <c r="A203" s="3"/>
      <c r="B203" s="169"/>
      <c r="C203" s="68"/>
      <c r="D203" s="69"/>
    </row>
    <row r="204" spans="1:4" x14ac:dyDescent="0.25">
      <c r="A204" s="3"/>
      <c r="B204" s="169"/>
      <c r="C204" s="68"/>
      <c r="D204" s="69"/>
    </row>
    <row r="205" spans="1:4" x14ac:dyDescent="0.25">
      <c r="A205" s="3"/>
      <c r="B205" s="169"/>
      <c r="C205" s="68"/>
      <c r="D205" s="69"/>
    </row>
    <row r="206" spans="1:4" x14ac:dyDescent="0.25">
      <c r="A206" s="3"/>
      <c r="B206" s="169"/>
      <c r="C206" s="68"/>
      <c r="D206" s="69"/>
    </row>
    <row r="207" spans="1:4" x14ac:dyDescent="0.25">
      <c r="A207" s="3"/>
      <c r="B207" s="169"/>
      <c r="C207" s="68"/>
      <c r="D207" s="69"/>
    </row>
    <row r="208" spans="1:4" x14ac:dyDescent="0.25">
      <c r="A208" s="3"/>
      <c r="B208" s="169"/>
      <c r="C208" s="68"/>
      <c r="D208" s="69"/>
    </row>
    <row r="209" spans="1:4" x14ac:dyDescent="0.25">
      <c r="A209" s="3"/>
      <c r="B209" s="169"/>
      <c r="C209" s="68"/>
      <c r="D209" s="69"/>
    </row>
    <row r="210" spans="1:4" x14ac:dyDescent="0.25">
      <c r="A210" s="3"/>
      <c r="B210" s="169"/>
      <c r="C210" s="68"/>
      <c r="D210" s="69"/>
    </row>
    <row r="211" spans="1:4" x14ac:dyDescent="0.25">
      <c r="A211" s="3"/>
      <c r="B211" s="169"/>
      <c r="C211" s="68"/>
      <c r="D211" s="69"/>
    </row>
    <row r="212" spans="1:4" x14ac:dyDescent="0.25">
      <c r="A212" s="3"/>
      <c r="B212" s="169"/>
      <c r="C212" s="68"/>
      <c r="D212" s="69"/>
    </row>
    <row r="213" spans="1:4" x14ac:dyDescent="0.25">
      <c r="A213" s="3"/>
      <c r="B213" s="169"/>
      <c r="C213" s="68"/>
      <c r="D213" s="69"/>
    </row>
    <row r="214" spans="1:4" x14ac:dyDescent="0.25">
      <c r="A214" s="3"/>
      <c r="B214" s="169"/>
      <c r="C214" s="68"/>
      <c r="D214" s="69"/>
    </row>
    <row r="215" spans="1:4" x14ac:dyDescent="0.25">
      <c r="A215" s="3"/>
      <c r="B215" s="169"/>
      <c r="C215" s="68"/>
      <c r="D215" s="69"/>
    </row>
    <row r="216" spans="1:4" x14ac:dyDescent="0.25">
      <c r="A216" s="3"/>
      <c r="B216" s="169"/>
      <c r="C216" s="68"/>
      <c r="D216" s="69"/>
    </row>
    <row r="217" spans="1:4" x14ac:dyDescent="0.25">
      <c r="A217" s="3"/>
      <c r="B217" s="169"/>
      <c r="C217" s="68"/>
      <c r="D217" s="69"/>
    </row>
    <row r="218" spans="1:4" x14ac:dyDescent="0.25">
      <c r="A218" s="3"/>
      <c r="B218" s="169"/>
      <c r="C218" s="68"/>
      <c r="D218" s="69"/>
    </row>
    <row r="219" spans="1:4" x14ac:dyDescent="0.25">
      <c r="A219" s="3"/>
      <c r="B219" s="169"/>
      <c r="C219" s="68"/>
      <c r="D219" s="69"/>
    </row>
    <row r="220" spans="1:4" x14ac:dyDescent="0.25">
      <c r="A220" s="3"/>
      <c r="B220" s="169"/>
      <c r="C220" s="68"/>
      <c r="D220" s="69"/>
    </row>
    <row r="221" spans="1:4" x14ac:dyDescent="0.25">
      <c r="A221" s="3"/>
      <c r="B221" s="169"/>
      <c r="C221" s="68"/>
      <c r="D221" s="69"/>
    </row>
    <row r="222" spans="1:4" x14ac:dyDescent="0.25">
      <c r="A222" s="3"/>
      <c r="B222" s="169"/>
      <c r="C222" s="68"/>
      <c r="D222" s="69"/>
    </row>
    <row r="223" spans="1:4" x14ac:dyDescent="0.25">
      <c r="A223" s="3"/>
      <c r="B223" s="169"/>
      <c r="C223" s="68"/>
      <c r="D223" s="69"/>
    </row>
    <row r="224" spans="1:4" x14ac:dyDescent="0.25">
      <c r="A224" s="3"/>
      <c r="B224" s="169"/>
      <c r="C224" s="68"/>
      <c r="D224" s="69"/>
    </row>
    <row r="225" spans="1:4" x14ac:dyDescent="0.25">
      <c r="A225" s="3"/>
      <c r="B225" s="169"/>
      <c r="C225" s="68"/>
      <c r="D225" s="69"/>
    </row>
    <row r="226" spans="1:4" x14ac:dyDescent="0.25">
      <c r="A226" s="3"/>
      <c r="B226" s="169"/>
      <c r="C226" s="68"/>
      <c r="D226" s="69"/>
    </row>
    <row r="227" spans="1:4" x14ac:dyDescent="0.25">
      <c r="A227" s="3"/>
      <c r="B227" s="169"/>
      <c r="C227" s="68"/>
      <c r="D227" s="69"/>
    </row>
    <row r="228" spans="1:4" x14ac:dyDescent="0.25">
      <c r="A228" s="3"/>
      <c r="B228" s="169"/>
      <c r="C228" s="68"/>
      <c r="D228" s="69"/>
    </row>
    <row r="229" spans="1:4" x14ac:dyDescent="0.25">
      <c r="A229" s="3"/>
      <c r="B229" s="169"/>
      <c r="C229" s="68"/>
      <c r="D229" s="69"/>
    </row>
    <row r="230" spans="1:4" x14ac:dyDescent="0.25">
      <c r="A230" s="3"/>
      <c r="B230" s="169"/>
      <c r="C230" s="68"/>
      <c r="D230" s="69"/>
    </row>
    <row r="231" spans="1:4" x14ac:dyDescent="0.25">
      <c r="A231" s="3"/>
      <c r="B231" s="169"/>
      <c r="C231" s="68"/>
      <c r="D231" s="69"/>
    </row>
    <row r="232" spans="1:4" x14ac:dyDescent="0.25">
      <c r="A232" s="3"/>
      <c r="B232" s="169"/>
      <c r="C232" s="68"/>
      <c r="D232" s="69"/>
    </row>
    <row r="233" spans="1:4" x14ac:dyDescent="0.25">
      <c r="A233" s="3"/>
      <c r="B233" s="169"/>
      <c r="C233" s="68"/>
      <c r="D233" s="69"/>
    </row>
    <row r="234" spans="1:4" x14ac:dyDescent="0.25">
      <c r="A234" s="3"/>
      <c r="B234" s="169"/>
      <c r="C234" s="68"/>
      <c r="D234" s="69"/>
    </row>
    <row r="235" spans="1:4" x14ac:dyDescent="0.25">
      <c r="A235" s="3"/>
      <c r="B235" s="169"/>
      <c r="C235" s="68"/>
      <c r="D235" s="69"/>
    </row>
    <row r="236" spans="1:4" x14ac:dyDescent="0.25">
      <c r="A236" s="3"/>
      <c r="B236" s="169"/>
      <c r="C236" s="68"/>
      <c r="D236" s="69"/>
    </row>
    <row r="237" spans="1:4" x14ac:dyDescent="0.25">
      <c r="A237" s="3"/>
      <c r="B237" s="169"/>
      <c r="C237" s="68"/>
      <c r="D237" s="69"/>
    </row>
    <row r="238" spans="1:4" x14ac:dyDescent="0.25">
      <c r="A238" s="3"/>
      <c r="B238" s="169"/>
      <c r="C238" s="68"/>
      <c r="D238" s="69"/>
    </row>
    <row r="239" spans="1:4" x14ac:dyDescent="0.25">
      <c r="A239" s="3"/>
      <c r="B239" s="169"/>
      <c r="C239" s="68"/>
      <c r="D239" s="69"/>
    </row>
    <row r="240" spans="1:4" x14ac:dyDescent="0.25">
      <c r="A240" s="3"/>
      <c r="B240" s="169"/>
      <c r="C240" s="68"/>
      <c r="D240" s="69"/>
    </row>
    <row r="241" spans="1:4" x14ac:dyDescent="0.25">
      <c r="A241" s="3"/>
      <c r="B241" s="169"/>
      <c r="C241" s="68"/>
      <c r="D241" s="69"/>
    </row>
    <row r="242" spans="1:4" x14ac:dyDescent="0.25">
      <c r="A242" s="3"/>
      <c r="B242" s="169"/>
      <c r="C242" s="68"/>
      <c r="D242" s="69"/>
    </row>
    <row r="243" spans="1:4" x14ac:dyDescent="0.25">
      <c r="A243" s="3"/>
      <c r="B243" s="169"/>
      <c r="C243" s="68"/>
      <c r="D243" s="69"/>
    </row>
    <row r="244" spans="1:4" x14ac:dyDescent="0.25">
      <c r="A244" s="3"/>
      <c r="B244" s="169"/>
      <c r="C244" s="68"/>
      <c r="D244" s="69"/>
    </row>
    <row r="245" spans="1:4" x14ac:dyDescent="0.25">
      <c r="A245" s="3"/>
      <c r="B245" s="169"/>
      <c r="C245" s="68"/>
      <c r="D245" s="69"/>
    </row>
    <row r="246" spans="1:4" x14ac:dyDescent="0.25">
      <c r="A246" s="3"/>
      <c r="B246" s="169"/>
      <c r="C246" s="68"/>
      <c r="D246" s="69"/>
    </row>
    <row r="247" spans="1:4" x14ac:dyDescent="0.25">
      <c r="A247" s="3"/>
      <c r="B247" s="169"/>
      <c r="C247" s="68"/>
      <c r="D247" s="69"/>
    </row>
    <row r="248" spans="1:4" x14ac:dyDescent="0.25">
      <c r="A248" s="3"/>
      <c r="B248" s="169"/>
      <c r="C248" s="68"/>
      <c r="D248" s="69"/>
    </row>
    <row r="249" spans="1:4" x14ac:dyDescent="0.25">
      <c r="A249" s="3"/>
      <c r="B249" s="169"/>
      <c r="C249" s="68"/>
      <c r="D249" s="69"/>
    </row>
    <row r="250" spans="1:4" x14ac:dyDescent="0.25">
      <c r="A250" s="3"/>
      <c r="B250" s="169"/>
      <c r="C250" s="68"/>
      <c r="D250" s="69"/>
    </row>
    <row r="251" spans="1:4" x14ac:dyDescent="0.25">
      <c r="A251" s="3"/>
      <c r="B251" s="169"/>
      <c r="C251" s="68"/>
      <c r="D251" s="69"/>
    </row>
    <row r="252" spans="1:4" x14ac:dyDescent="0.25">
      <c r="A252" s="3"/>
      <c r="B252" s="169"/>
      <c r="C252" s="68"/>
      <c r="D252" s="69"/>
    </row>
    <row r="253" spans="1:4" x14ac:dyDescent="0.25">
      <c r="A253" s="3"/>
      <c r="B253" s="169"/>
      <c r="C253" s="68"/>
      <c r="D253" s="69"/>
    </row>
    <row r="254" spans="1:4" x14ac:dyDescent="0.25">
      <c r="A254" s="3"/>
      <c r="B254" s="169"/>
      <c r="C254" s="68"/>
      <c r="D254" s="69"/>
    </row>
    <row r="255" spans="1:4" x14ac:dyDescent="0.25">
      <c r="A255" s="3"/>
      <c r="B255" s="169"/>
      <c r="C255" s="68"/>
      <c r="D255" s="69"/>
    </row>
    <row r="256" spans="1:4" x14ac:dyDescent="0.25">
      <c r="A256" s="3"/>
      <c r="B256" s="169"/>
      <c r="C256" s="68"/>
      <c r="D256" s="69"/>
    </row>
    <row r="257" spans="1:4" x14ac:dyDescent="0.25">
      <c r="A257" s="3"/>
      <c r="B257" s="169"/>
      <c r="C257" s="68"/>
      <c r="D257" s="69"/>
    </row>
    <row r="258" spans="1:4" x14ac:dyDescent="0.25">
      <c r="A258" s="3"/>
      <c r="B258" s="169"/>
      <c r="C258" s="68"/>
      <c r="D258" s="69"/>
    </row>
    <row r="259" spans="1:4" x14ac:dyDescent="0.25">
      <c r="A259" s="3"/>
      <c r="B259" s="169"/>
      <c r="C259" s="68"/>
      <c r="D259" s="69"/>
    </row>
    <row r="260" spans="1:4" x14ac:dyDescent="0.25">
      <c r="A260" s="3"/>
      <c r="B260" s="169"/>
      <c r="C260" s="68"/>
      <c r="D260" s="69"/>
    </row>
    <row r="261" spans="1:4" x14ac:dyDescent="0.25">
      <c r="A261" s="3"/>
      <c r="B261" s="169"/>
      <c r="C261" s="68"/>
      <c r="D261" s="69"/>
    </row>
    <row r="262" spans="1:4" x14ac:dyDescent="0.25">
      <c r="A262" s="3"/>
      <c r="B262" s="169"/>
      <c r="C262" s="68"/>
      <c r="D262" s="69"/>
    </row>
    <row r="263" spans="1:4" x14ac:dyDescent="0.25">
      <c r="A263" s="3"/>
      <c r="B263" s="169"/>
      <c r="C263" s="68"/>
      <c r="D263" s="69"/>
    </row>
    <row r="264" spans="1:4" x14ac:dyDescent="0.25">
      <c r="A264" s="3"/>
      <c r="B264" s="169"/>
      <c r="C264" s="68"/>
      <c r="D264" s="69"/>
    </row>
    <row r="265" spans="1:4" x14ac:dyDescent="0.25">
      <c r="A265" s="3"/>
      <c r="B265" s="169"/>
      <c r="C265" s="68"/>
      <c r="D265" s="69"/>
    </row>
    <row r="266" spans="1:4" x14ac:dyDescent="0.25">
      <c r="A266" s="3"/>
      <c r="B266" s="169"/>
      <c r="C266" s="68"/>
      <c r="D266" s="69"/>
    </row>
    <row r="267" spans="1:4" x14ac:dyDescent="0.25">
      <c r="A267" s="3"/>
      <c r="B267" s="169"/>
      <c r="C267" s="68"/>
      <c r="D267" s="69"/>
    </row>
    <row r="268" spans="1:4" x14ac:dyDescent="0.25">
      <c r="A268" s="3"/>
      <c r="B268" s="169"/>
      <c r="C268" s="68"/>
      <c r="D268" s="69"/>
    </row>
    <row r="269" spans="1:4" x14ac:dyDescent="0.25">
      <c r="A269" s="3"/>
      <c r="B269" s="169"/>
      <c r="C269" s="68"/>
      <c r="D269" s="69"/>
    </row>
    <row r="270" spans="1:4" x14ac:dyDescent="0.25">
      <c r="A270" s="3"/>
      <c r="B270" s="169"/>
      <c r="C270" s="68"/>
      <c r="D270" s="69"/>
    </row>
    <row r="271" spans="1:4" x14ac:dyDescent="0.25">
      <c r="A271" s="3"/>
      <c r="B271" s="169"/>
      <c r="C271" s="68"/>
      <c r="D271" s="69"/>
    </row>
    <row r="272" spans="1:4" x14ac:dyDescent="0.25">
      <c r="A272" s="3"/>
      <c r="B272" s="169"/>
      <c r="C272" s="68"/>
      <c r="D272" s="69"/>
    </row>
    <row r="273" spans="1:4" x14ac:dyDescent="0.25">
      <c r="A273" s="3"/>
      <c r="B273" s="169"/>
      <c r="C273" s="68"/>
      <c r="D273" s="69"/>
    </row>
    <row r="274" spans="1:4" x14ac:dyDescent="0.25">
      <c r="A274" s="3"/>
      <c r="B274" s="169"/>
      <c r="C274" s="68"/>
      <c r="D274" s="69"/>
    </row>
    <row r="275" spans="1:4" x14ac:dyDescent="0.25">
      <c r="A275" s="3"/>
      <c r="B275" s="169"/>
      <c r="C275" s="68"/>
      <c r="D275" s="69"/>
    </row>
    <row r="276" spans="1:4" x14ac:dyDescent="0.25">
      <c r="A276" s="3"/>
      <c r="B276" s="169"/>
      <c r="C276" s="68"/>
      <c r="D276" s="69"/>
    </row>
    <row r="277" spans="1:4" x14ac:dyDescent="0.25">
      <c r="A277" s="3"/>
      <c r="B277" s="169"/>
      <c r="C277" s="68"/>
      <c r="D277" s="69"/>
    </row>
    <row r="278" spans="1:4" x14ac:dyDescent="0.25">
      <c r="A278" s="3"/>
      <c r="B278" s="169"/>
      <c r="C278" s="68"/>
      <c r="D278" s="69"/>
    </row>
    <row r="279" spans="1:4" x14ac:dyDescent="0.25">
      <c r="A279" s="3"/>
      <c r="B279" s="169"/>
      <c r="C279" s="68"/>
      <c r="D279" s="69"/>
    </row>
    <row r="280" spans="1:4" x14ac:dyDescent="0.25">
      <c r="A280" s="3"/>
      <c r="B280" s="169"/>
      <c r="C280" s="68"/>
      <c r="D280" s="69"/>
    </row>
    <row r="281" spans="1:4" x14ac:dyDescent="0.25">
      <c r="A281" s="3"/>
      <c r="B281" s="169"/>
      <c r="C281" s="68"/>
      <c r="D281" s="69"/>
    </row>
    <row r="282" spans="1:4" x14ac:dyDescent="0.25">
      <c r="A282" s="3"/>
      <c r="B282" s="169"/>
      <c r="C282" s="68"/>
      <c r="D282" s="69"/>
    </row>
    <row r="283" spans="1:4" x14ac:dyDescent="0.25">
      <c r="A283" s="3"/>
      <c r="B283" s="169"/>
      <c r="C283" s="68"/>
      <c r="D283" s="69"/>
    </row>
    <row r="284" spans="1:4" x14ac:dyDescent="0.25">
      <c r="A284" s="3"/>
      <c r="B284" s="169"/>
      <c r="C284" s="68"/>
      <c r="D284" s="69"/>
    </row>
    <row r="285" spans="1:4" x14ac:dyDescent="0.25">
      <c r="A285" s="3"/>
      <c r="B285" s="169"/>
      <c r="C285" s="68"/>
      <c r="D285" s="69"/>
    </row>
    <row r="286" spans="1:4" x14ac:dyDescent="0.25">
      <c r="A286" s="3"/>
      <c r="B286" s="169"/>
      <c r="C286" s="68"/>
      <c r="D286" s="69"/>
    </row>
    <row r="287" spans="1:4" x14ac:dyDescent="0.25">
      <c r="A287" s="3"/>
      <c r="B287" s="169"/>
      <c r="C287" s="68"/>
      <c r="D287" s="69"/>
    </row>
    <row r="288" spans="1:4" x14ac:dyDescent="0.25">
      <c r="A288" s="3"/>
      <c r="B288" s="169"/>
      <c r="C288" s="68"/>
      <c r="D288" s="69"/>
    </row>
    <row r="289" spans="1:4" x14ac:dyDescent="0.25">
      <c r="A289" s="3"/>
      <c r="B289" s="169"/>
      <c r="C289" s="68"/>
      <c r="D289" s="69"/>
    </row>
    <row r="290" spans="1:4" x14ac:dyDescent="0.25">
      <c r="A290" s="3"/>
      <c r="B290" s="169"/>
      <c r="C290" s="68"/>
      <c r="D290" s="69"/>
    </row>
    <row r="291" spans="1:4" x14ac:dyDescent="0.25">
      <c r="A291" s="3"/>
      <c r="B291" s="169"/>
      <c r="C291" s="68"/>
      <c r="D291" s="69"/>
    </row>
    <row r="292" spans="1:4" x14ac:dyDescent="0.25">
      <c r="A292" s="3"/>
      <c r="B292" s="169"/>
      <c r="C292" s="68"/>
      <c r="D292" s="69"/>
    </row>
    <row r="293" spans="1:4" x14ac:dyDescent="0.25">
      <c r="A293" s="3"/>
      <c r="B293" s="169"/>
      <c r="C293" s="68"/>
      <c r="D293" s="69"/>
    </row>
    <row r="294" spans="1:4" x14ac:dyDescent="0.25">
      <c r="A294" s="3"/>
      <c r="B294" s="169"/>
      <c r="C294" s="68"/>
      <c r="D294" s="69"/>
    </row>
    <row r="295" spans="1:4" x14ac:dyDescent="0.25">
      <c r="A295" s="3"/>
      <c r="B295" s="169"/>
      <c r="C295" s="68"/>
      <c r="D295" s="69"/>
    </row>
    <row r="296" spans="1:4" x14ac:dyDescent="0.25">
      <c r="A296" s="3"/>
      <c r="B296" s="169"/>
      <c r="C296" s="68"/>
      <c r="D296" s="69"/>
    </row>
    <row r="297" spans="1:4" x14ac:dyDescent="0.25">
      <c r="A297" s="3"/>
      <c r="B297" s="169"/>
      <c r="C297" s="68"/>
      <c r="D297" s="69"/>
    </row>
    <row r="298" spans="1:4" x14ac:dyDescent="0.25">
      <c r="A298" s="3"/>
      <c r="B298" s="169"/>
      <c r="C298" s="68"/>
      <c r="D298" s="69"/>
    </row>
    <row r="299" spans="1:4" x14ac:dyDescent="0.25">
      <c r="A299" s="3"/>
      <c r="B299" s="169"/>
      <c r="C299" s="68"/>
      <c r="D299" s="69"/>
    </row>
    <row r="300" spans="1:4" x14ac:dyDescent="0.25">
      <c r="A300" s="3"/>
      <c r="B300" s="169"/>
      <c r="C300" s="68"/>
      <c r="D300" s="69"/>
    </row>
    <row r="301" spans="1:4" x14ac:dyDescent="0.25">
      <c r="A301" s="3"/>
      <c r="B301" s="169"/>
      <c r="C301" s="68"/>
      <c r="D301" s="69"/>
    </row>
    <row r="302" spans="1:4" x14ac:dyDescent="0.25">
      <c r="A302" s="3"/>
      <c r="B302" s="169"/>
      <c r="C302" s="68"/>
      <c r="D302" s="69"/>
    </row>
    <row r="303" spans="1:4" x14ac:dyDescent="0.25">
      <c r="A303" s="3"/>
      <c r="B303" s="169"/>
      <c r="C303" s="68"/>
      <c r="D303" s="69"/>
    </row>
    <row r="304" spans="1:4" x14ac:dyDescent="0.25">
      <c r="A304" s="3"/>
      <c r="B304" s="169"/>
      <c r="C304" s="68"/>
      <c r="D304" s="69"/>
    </row>
    <row r="305" spans="1:4" x14ac:dyDescent="0.25">
      <c r="A305" s="3"/>
      <c r="B305" s="169"/>
      <c r="C305" s="68"/>
      <c r="D305" s="69"/>
    </row>
    <row r="306" spans="1:4" x14ac:dyDescent="0.25">
      <c r="A306" s="3"/>
      <c r="B306" s="169"/>
      <c r="C306" s="68"/>
      <c r="D306" s="69"/>
    </row>
    <row r="307" spans="1:4" x14ac:dyDescent="0.25">
      <c r="A307" s="3"/>
      <c r="B307" s="169"/>
      <c r="C307" s="68"/>
      <c r="D307" s="69"/>
    </row>
    <row r="308" spans="1:4" x14ac:dyDescent="0.25">
      <c r="A308" s="3"/>
      <c r="B308" s="169"/>
      <c r="C308" s="68"/>
      <c r="D308" s="69"/>
    </row>
    <row r="309" spans="1:4" x14ac:dyDescent="0.25">
      <c r="A309" s="3"/>
      <c r="B309" s="169"/>
      <c r="C309" s="68"/>
      <c r="D309" s="69"/>
    </row>
    <row r="310" spans="1:4" x14ac:dyDescent="0.25">
      <c r="A310" s="3"/>
      <c r="B310" s="169"/>
      <c r="C310" s="68"/>
      <c r="D310" s="69"/>
    </row>
    <row r="311" spans="1:4" x14ac:dyDescent="0.25">
      <c r="A311" s="3"/>
      <c r="B311" s="169"/>
      <c r="C311" s="68"/>
      <c r="D311" s="69"/>
    </row>
    <row r="312" spans="1:4" x14ac:dyDescent="0.25">
      <c r="A312" s="3"/>
      <c r="B312" s="169"/>
      <c r="C312" s="68"/>
      <c r="D312" s="69"/>
    </row>
    <row r="313" spans="1:4" x14ac:dyDescent="0.25">
      <c r="A313" s="3"/>
      <c r="B313" s="169"/>
      <c r="C313" s="68"/>
      <c r="D313" s="69"/>
    </row>
    <row r="314" spans="1:4" x14ac:dyDescent="0.25">
      <c r="A314" s="3"/>
      <c r="B314" s="169"/>
      <c r="C314" s="68"/>
      <c r="D314" s="69"/>
    </row>
    <row r="315" spans="1:4" x14ac:dyDescent="0.25">
      <c r="A315" s="3"/>
      <c r="B315" s="169"/>
      <c r="C315" s="68"/>
      <c r="D315" s="69"/>
    </row>
    <row r="316" spans="1:4" x14ac:dyDescent="0.25">
      <c r="A316" s="3"/>
      <c r="B316" s="169"/>
      <c r="C316" s="68"/>
      <c r="D316" s="69"/>
    </row>
    <row r="317" spans="1:4" x14ac:dyDescent="0.25">
      <c r="A317" s="3"/>
      <c r="B317" s="169"/>
      <c r="C317" s="68"/>
      <c r="D317" s="69"/>
    </row>
  </sheetData>
  <autoFilter ref="A1:D1" xr:uid="{26D13607-B9D5-46A2-B8F3-A280ACADEEA6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D864-9B1F-4A61-A225-F12AFDB4F4D1}">
  <dimension ref="A1:X69"/>
  <sheetViews>
    <sheetView topLeftCell="A10" zoomScale="85" zoomScaleNormal="85" workbookViewId="0">
      <pane xSplit="1" topLeftCell="B1" activePane="topRight" state="frozen"/>
      <selection activeCell="A7" sqref="A7"/>
      <selection pane="topRight" activeCell="M24" sqref="M24"/>
    </sheetView>
  </sheetViews>
  <sheetFormatPr defaultRowHeight="15" x14ac:dyDescent="0.25"/>
  <cols>
    <col min="1" max="1" width="46.140625" bestFit="1" customWidth="1"/>
    <col min="2" max="2" width="22.140625" customWidth="1"/>
    <col min="3" max="20" width="10.5703125" customWidth="1"/>
    <col min="21" max="21" width="17.85546875" bestFit="1" customWidth="1"/>
    <col min="23" max="23" width="28.140625" bestFit="1" customWidth="1"/>
    <col min="24" max="24" width="26.42578125" bestFit="1" customWidth="1"/>
  </cols>
  <sheetData>
    <row r="1" spans="1:24" x14ac:dyDescent="0.25">
      <c r="A1" s="23" t="s">
        <v>129</v>
      </c>
      <c r="B1" s="2" t="s">
        <v>130</v>
      </c>
      <c r="C1" s="2"/>
      <c r="D1" s="2"/>
    </row>
    <row r="2" spans="1:24" x14ac:dyDescent="0.25">
      <c r="A2" s="43"/>
      <c r="B2" s="2"/>
      <c r="C2" s="2"/>
      <c r="D2" s="2"/>
    </row>
    <row r="3" spans="1:24" x14ac:dyDescent="0.25">
      <c r="A3" s="43"/>
      <c r="B3" s="2"/>
      <c r="C3" s="2"/>
      <c r="D3" s="2"/>
    </row>
    <row r="4" spans="1:24" ht="15.75" thickBot="1" x14ac:dyDescent="0.3">
      <c r="A4" s="44"/>
      <c r="B4" s="2"/>
      <c r="C4" s="2"/>
      <c r="D4" s="2"/>
    </row>
    <row r="5" spans="1:24" ht="15.75" thickBot="1" x14ac:dyDescent="0.3"/>
    <row r="6" spans="1:24" s="1" customFormat="1" ht="24" thickBot="1" x14ac:dyDescent="0.4">
      <c r="A6" s="25"/>
      <c r="B6" s="10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310"/>
      <c r="S6" s="310"/>
      <c r="T6" s="325"/>
    </row>
    <row r="7" spans="1:24" x14ac:dyDescent="0.25">
      <c r="A7" s="10"/>
      <c r="B7" s="110"/>
      <c r="C7" s="11"/>
      <c r="D7" s="11"/>
      <c r="E7" s="11"/>
      <c r="F7" s="12"/>
      <c r="G7" s="11"/>
      <c r="H7" s="11"/>
      <c r="I7" s="11"/>
      <c r="J7" s="12"/>
      <c r="K7" s="14"/>
      <c r="L7" s="11"/>
      <c r="M7" s="11"/>
      <c r="N7" s="11"/>
      <c r="O7" s="12"/>
      <c r="P7" s="11"/>
      <c r="Q7" s="306"/>
      <c r="R7" s="3"/>
      <c r="S7" s="2"/>
      <c r="T7" s="15"/>
      <c r="U7" s="3"/>
      <c r="V7" s="3"/>
      <c r="W7" s="3"/>
      <c r="X7" s="3"/>
    </row>
    <row r="8" spans="1:24" x14ac:dyDescent="0.25">
      <c r="A8" s="5"/>
      <c r="B8" s="67"/>
      <c r="C8" s="3"/>
      <c r="D8" s="3"/>
      <c r="E8" s="3"/>
      <c r="F8" s="2"/>
      <c r="G8" s="3"/>
      <c r="H8" s="3"/>
      <c r="I8" s="3"/>
      <c r="J8" s="2"/>
      <c r="K8" s="15"/>
      <c r="L8" s="3"/>
      <c r="M8" s="3"/>
      <c r="N8" s="3"/>
      <c r="O8" s="2"/>
      <c r="P8" s="3"/>
      <c r="Q8" s="181"/>
      <c r="R8" s="3"/>
      <c r="S8" s="2"/>
      <c r="T8" s="15"/>
      <c r="U8" s="3"/>
      <c r="V8" s="3"/>
      <c r="W8" s="3"/>
      <c r="X8" s="3"/>
    </row>
    <row r="9" spans="1:24" ht="15.75" thickBot="1" x14ac:dyDescent="0.3">
      <c r="A9" s="2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326"/>
      <c r="S9" s="326"/>
      <c r="T9" s="326"/>
      <c r="U9" s="3"/>
      <c r="V9" s="3"/>
      <c r="W9" s="3"/>
      <c r="X9" s="3"/>
    </row>
    <row r="10" spans="1:24" s="1" customFormat="1" ht="23.25" x14ac:dyDescent="0.35">
      <c r="A10" s="24"/>
      <c r="B10" s="108"/>
      <c r="C10" s="4"/>
      <c r="D10" s="4"/>
      <c r="E10" s="4"/>
      <c r="F10" s="4"/>
      <c r="G10" s="4"/>
      <c r="H10" s="4"/>
      <c r="I10" s="4"/>
      <c r="J10" s="4"/>
      <c r="K10" s="17"/>
      <c r="L10" s="4"/>
      <c r="M10" s="4"/>
      <c r="N10" s="4"/>
      <c r="O10" s="4"/>
      <c r="P10" s="4"/>
      <c r="Q10" s="316"/>
      <c r="R10" s="2"/>
      <c r="S10" s="2"/>
      <c r="T10" s="15"/>
      <c r="U10" s="2"/>
      <c r="V10" s="2"/>
      <c r="W10" s="2"/>
      <c r="X10" s="2"/>
    </row>
    <row r="11" spans="1:24" x14ac:dyDescent="0.25">
      <c r="A11" s="5"/>
      <c r="B11" s="111"/>
      <c r="C11" s="37"/>
      <c r="D11" s="37"/>
      <c r="E11" s="37"/>
      <c r="F11" s="38"/>
      <c r="G11" s="37"/>
      <c r="H11" s="37"/>
      <c r="I11" s="37"/>
      <c r="J11" s="38"/>
      <c r="K11" s="39"/>
      <c r="L11" s="37"/>
      <c r="M11" s="37"/>
      <c r="N11" s="37"/>
      <c r="O11" s="38"/>
      <c r="P11" s="37"/>
      <c r="Q11" s="317"/>
      <c r="R11" s="37"/>
      <c r="S11" s="38"/>
      <c r="T11" s="39"/>
      <c r="U11" s="3"/>
      <c r="V11" s="3"/>
      <c r="W11" s="3"/>
      <c r="X11" s="3"/>
    </row>
    <row r="12" spans="1:24" x14ac:dyDescent="0.25">
      <c r="A12" s="5"/>
      <c r="B12" s="67"/>
      <c r="C12" s="3"/>
      <c r="D12" s="3"/>
      <c r="E12" s="3"/>
      <c r="F12" s="2"/>
      <c r="G12" s="3"/>
      <c r="H12" s="3"/>
      <c r="I12" s="3"/>
      <c r="J12" s="2"/>
      <c r="K12" s="15"/>
      <c r="L12" s="3"/>
      <c r="M12" s="3"/>
      <c r="N12" s="3"/>
      <c r="O12" s="2"/>
      <c r="P12" s="3"/>
      <c r="Q12" s="181"/>
      <c r="R12" s="3"/>
      <c r="S12" s="2"/>
      <c r="T12" s="15"/>
      <c r="U12" s="3"/>
      <c r="V12" s="3"/>
      <c r="W12" s="3"/>
      <c r="X12" s="3"/>
    </row>
    <row r="13" spans="1:24" x14ac:dyDescent="0.25">
      <c r="A13" s="5"/>
      <c r="B13" s="111"/>
      <c r="C13" s="37"/>
      <c r="D13" s="37"/>
      <c r="E13" s="37"/>
      <c r="F13" s="38"/>
      <c r="G13" s="37"/>
      <c r="H13" s="37"/>
      <c r="I13" s="37"/>
      <c r="J13" s="38"/>
      <c r="K13" s="39"/>
      <c r="L13" s="37"/>
      <c r="M13" s="37"/>
      <c r="N13" s="37"/>
      <c r="O13" s="38"/>
      <c r="P13" s="37"/>
      <c r="Q13" s="317"/>
      <c r="R13" s="37"/>
      <c r="S13" s="38"/>
      <c r="T13" s="39"/>
      <c r="U13" s="3"/>
      <c r="V13" s="3"/>
      <c r="W13" s="3"/>
      <c r="X13" s="3"/>
    </row>
    <row r="14" spans="1:24" x14ac:dyDescent="0.25">
      <c r="A14" s="28"/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326"/>
      <c r="S14" s="326"/>
      <c r="T14" s="326"/>
      <c r="U14" s="3"/>
      <c r="V14" s="3"/>
      <c r="W14" s="3"/>
      <c r="X14" s="3"/>
    </row>
    <row r="15" spans="1:24" x14ac:dyDescent="0.25">
      <c r="A15" s="5"/>
      <c r="B15" s="111"/>
      <c r="C15" s="37"/>
      <c r="D15" s="37"/>
      <c r="E15" s="37"/>
      <c r="F15" s="38"/>
      <c r="G15" s="37"/>
      <c r="H15" s="37"/>
      <c r="I15" s="37"/>
      <c r="J15" s="38"/>
      <c r="K15" s="39"/>
      <c r="L15" s="37"/>
      <c r="M15" s="37"/>
      <c r="N15" s="37"/>
      <c r="O15" s="38"/>
      <c r="P15" s="37"/>
      <c r="Q15" s="317"/>
      <c r="R15" s="37"/>
      <c r="S15" s="38"/>
      <c r="T15" s="39"/>
      <c r="U15" s="3"/>
      <c r="V15" s="3"/>
      <c r="W15" s="3"/>
      <c r="X15" s="3"/>
    </row>
    <row r="16" spans="1:24" x14ac:dyDescent="0.25">
      <c r="A16" s="5"/>
      <c r="B16" s="67"/>
      <c r="C16" s="3"/>
      <c r="D16" s="3"/>
      <c r="E16" s="3"/>
      <c r="F16" s="2"/>
      <c r="G16" s="3"/>
      <c r="H16" s="3"/>
      <c r="I16" s="3"/>
      <c r="J16" s="2"/>
      <c r="K16" s="15"/>
      <c r="L16" s="3"/>
      <c r="M16" s="3"/>
      <c r="N16" s="3"/>
      <c r="O16" s="2"/>
      <c r="P16" s="3"/>
      <c r="Q16" s="181"/>
      <c r="R16" s="3"/>
      <c r="S16" s="2"/>
      <c r="T16" s="15"/>
      <c r="U16" s="3"/>
      <c r="V16" s="3"/>
      <c r="W16" s="3"/>
      <c r="X16" s="3"/>
    </row>
    <row r="17" spans="1:24" x14ac:dyDescent="0.25">
      <c r="A17" s="5"/>
      <c r="B17" s="111"/>
      <c r="C17" s="37"/>
      <c r="D17" s="37"/>
      <c r="E17" s="37"/>
      <c r="F17" s="38"/>
      <c r="G17" s="37"/>
      <c r="H17" s="37"/>
      <c r="I17" s="37"/>
      <c r="J17" s="38"/>
      <c r="K17" s="39"/>
      <c r="L17" s="37"/>
      <c r="M17" s="37"/>
      <c r="N17" s="37"/>
      <c r="O17" s="38"/>
      <c r="P17" s="37"/>
      <c r="Q17" s="317"/>
      <c r="R17" s="3"/>
      <c r="S17" s="3"/>
      <c r="T17" s="3"/>
      <c r="U17" s="3"/>
      <c r="V17" s="3"/>
      <c r="W17" s="3"/>
      <c r="X17" s="3"/>
    </row>
    <row r="18" spans="1:24" ht="15.75" thickBot="1" x14ac:dyDescent="0.3">
      <c r="A18" s="2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318"/>
      <c r="R18" s="3"/>
      <c r="S18" s="3"/>
      <c r="T18" s="3"/>
      <c r="U18" s="3"/>
      <c r="V18" s="3"/>
      <c r="W18" s="3"/>
      <c r="X18" s="3"/>
    </row>
    <row r="19" spans="1:24" x14ac:dyDescent="0.25">
      <c r="A19" s="22"/>
      <c r="B19" s="112"/>
      <c r="C19" s="45"/>
      <c r="D19" s="45"/>
      <c r="E19" s="45"/>
      <c r="F19" s="46"/>
      <c r="G19" s="45"/>
      <c r="H19" s="45"/>
      <c r="I19" s="45"/>
      <c r="J19" s="46"/>
      <c r="K19" s="47"/>
      <c r="L19" s="45"/>
      <c r="M19" s="45"/>
      <c r="N19" s="45"/>
      <c r="O19" s="46"/>
      <c r="P19" s="45"/>
      <c r="Q19" s="319"/>
      <c r="R19" s="3"/>
      <c r="S19" s="3"/>
      <c r="T19" s="3"/>
      <c r="U19" s="3"/>
      <c r="V19" s="3"/>
      <c r="W19" s="3"/>
      <c r="X19" s="3"/>
    </row>
    <row r="20" spans="1:24" x14ac:dyDescent="0.25">
      <c r="A20" s="5"/>
      <c r="B20" s="67"/>
      <c r="C20" s="3"/>
      <c r="D20" s="3"/>
      <c r="E20" s="3"/>
      <c r="F20" s="2"/>
      <c r="G20" s="3"/>
      <c r="H20" s="3"/>
      <c r="I20" s="3"/>
      <c r="J20" s="2"/>
      <c r="K20" s="15"/>
      <c r="L20" s="3"/>
      <c r="M20" s="3"/>
      <c r="N20" s="3"/>
      <c r="O20" s="2"/>
      <c r="P20" s="3"/>
      <c r="Q20" s="181"/>
      <c r="R20" s="3"/>
      <c r="S20" s="3"/>
      <c r="T20" s="3"/>
      <c r="U20" s="3"/>
      <c r="V20" s="3"/>
      <c r="W20" s="3"/>
      <c r="X20" s="3"/>
    </row>
    <row r="21" spans="1:24" ht="15.75" thickBot="1" x14ac:dyDescent="0.3">
      <c r="A21" s="6"/>
      <c r="B21" s="113"/>
      <c r="C21" s="48"/>
      <c r="D21" s="48"/>
      <c r="E21" s="48"/>
      <c r="F21" s="49"/>
      <c r="G21" s="48"/>
      <c r="H21" s="48"/>
      <c r="I21" s="48"/>
      <c r="J21" s="49"/>
      <c r="K21" s="50"/>
      <c r="L21" s="37"/>
      <c r="M21" s="37"/>
      <c r="N21" s="48"/>
      <c r="O21" s="49"/>
      <c r="P21" s="48"/>
      <c r="Q21" s="320"/>
      <c r="R21" s="3"/>
      <c r="S21" s="3"/>
      <c r="T21" s="3"/>
      <c r="U21" s="3"/>
      <c r="V21" s="3"/>
      <c r="W21" s="3"/>
      <c r="X21" s="3"/>
    </row>
    <row r="22" spans="1:24" ht="15.75" thickBot="1" x14ac:dyDescent="0.3">
      <c r="A22" s="2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318"/>
      <c r="R22" s="3"/>
      <c r="S22" s="3"/>
      <c r="T22" s="3"/>
      <c r="U22" s="3"/>
      <c r="V22" s="3"/>
      <c r="W22" s="3"/>
      <c r="X22" s="3"/>
    </row>
    <row r="23" spans="1:24" x14ac:dyDescent="0.25">
      <c r="A23" s="22"/>
      <c r="B23" s="112"/>
      <c r="C23" s="45"/>
      <c r="D23" s="45"/>
      <c r="E23" s="45"/>
      <c r="F23" s="46"/>
      <c r="G23" s="45"/>
      <c r="H23" s="45"/>
      <c r="I23" s="45"/>
      <c r="J23" s="46"/>
      <c r="K23" s="47"/>
      <c r="L23" s="45"/>
      <c r="M23" s="45"/>
      <c r="N23" s="45"/>
      <c r="O23" s="46"/>
      <c r="P23" s="45"/>
      <c r="Q23" s="319"/>
      <c r="R23" s="3"/>
      <c r="S23" s="3"/>
      <c r="T23" s="3"/>
      <c r="U23" s="3"/>
      <c r="V23" s="3"/>
      <c r="W23" s="3"/>
      <c r="X23" s="3"/>
    </row>
    <row r="24" spans="1:24" x14ac:dyDescent="0.25">
      <c r="A24" s="5"/>
      <c r="B24" s="67"/>
      <c r="C24" s="3"/>
      <c r="D24" s="3"/>
      <c r="E24" s="3"/>
      <c r="F24" s="2"/>
      <c r="G24" s="3"/>
      <c r="H24" s="3"/>
      <c r="I24" s="3"/>
      <c r="J24" s="2"/>
      <c r="K24" s="15"/>
      <c r="L24" s="3"/>
      <c r="M24" s="3"/>
      <c r="N24" s="3"/>
      <c r="O24" s="2"/>
      <c r="P24" s="3"/>
      <c r="Q24" s="181"/>
      <c r="R24" s="3"/>
      <c r="S24" s="3"/>
      <c r="T24" s="3"/>
      <c r="U24" s="3"/>
      <c r="V24" s="3"/>
      <c r="W24" s="3"/>
      <c r="X24" s="3"/>
    </row>
    <row r="25" spans="1:24" ht="15.75" thickBot="1" x14ac:dyDescent="0.3">
      <c r="A25" s="6"/>
      <c r="B25" s="113"/>
      <c r="C25" s="48"/>
      <c r="D25" s="48"/>
      <c r="E25" s="48"/>
      <c r="F25" s="49"/>
      <c r="G25" s="48"/>
      <c r="H25" s="48"/>
      <c r="I25" s="48"/>
      <c r="J25" s="49"/>
      <c r="K25" s="50"/>
      <c r="L25" s="48"/>
      <c r="M25" s="48"/>
      <c r="N25" s="48"/>
      <c r="O25" s="49"/>
      <c r="P25" s="48"/>
      <c r="Q25" s="320"/>
      <c r="R25" s="3"/>
      <c r="S25" s="3"/>
      <c r="T25" s="3"/>
      <c r="U25" s="3"/>
      <c r="V25" s="3"/>
      <c r="W25" s="3"/>
      <c r="X25" s="3"/>
    </row>
    <row r="26" spans="1:24" ht="15.75" thickBot="1" x14ac:dyDescent="0.3">
      <c r="A26" s="2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318"/>
      <c r="R26" s="3"/>
      <c r="S26" s="3"/>
      <c r="T26" s="3"/>
      <c r="U26" s="3"/>
      <c r="V26" s="3"/>
      <c r="W26" s="3"/>
      <c r="X26" s="3"/>
    </row>
    <row r="27" spans="1:24" x14ac:dyDescent="0.25">
      <c r="A27" s="22"/>
      <c r="B27" s="114"/>
      <c r="C27" s="8"/>
      <c r="D27" s="8"/>
      <c r="E27" s="8"/>
      <c r="F27" s="4"/>
      <c r="G27" s="8"/>
      <c r="H27" s="8"/>
      <c r="I27" s="8"/>
      <c r="J27" s="4"/>
      <c r="K27" s="17"/>
      <c r="L27" s="8"/>
      <c r="M27" s="8"/>
      <c r="N27" s="8"/>
      <c r="O27" s="4"/>
      <c r="P27" s="8"/>
      <c r="Q27" s="321"/>
      <c r="R27" s="3"/>
      <c r="S27" s="3"/>
      <c r="T27" s="3"/>
      <c r="U27" s="3"/>
      <c r="V27" s="3"/>
      <c r="W27" s="3"/>
      <c r="X27" s="3"/>
    </row>
    <row r="28" spans="1:24" ht="15.75" thickBot="1" x14ac:dyDescent="0.3">
      <c r="A28" s="6"/>
      <c r="B28" s="67"/>
      <c r="C28" s="3"/>
      <c r="D28" s="3"/>
      <c r="E28" s="3"/>
      <c r="F28" s="2"/>
      <c r="G28" s="3"/>
      <c r="H28" s="3"/>
      <c r="I28" s="3"/>
      <c r="J28" s="2"/>
      <c r="K28" s="15"/>
      <c r="L28" s="3"/>
      <c r="M28" s="3"/>
      <c r="N28" s="3"/>
      <c r="O28" s="2"/>
      <c r="P28" s="3"/>
      <c r="Q28" s="181"/>
      <c r="R28" s="3"/>
      <c r="S28" s="3"/>
      <c r="T28" s="3"/>
      <c r="U28" s="3"/>
      <c r="V28" s="3"/>
      <c r="W28" s="3"/>
      <c r="X28" s="3"/>
    </row>
    <row r="29" spans="1:24" x14ac:dyDescent="0.25">
      <c r="A29" s="145"/>
      <c r="B29" s="67"/>
      <c r="C29" s="3"/>
      <c r="D29" s="3"/>
      <c r="E29" s="3"/>
      <c r="F29" s="2"/>
      <c r="G29" s="3"/>
      <c r="H29" s="3"/>
      <c r="I29" s="3"/>
      <c r="J29" s="2"/>
      <c r="K29" s="15"/>
      <c r="M29" s="3"/>
      <c r="N29" s="3"/>
      <c r="O29" s="2"/>
      <c r="P29" s="3"/>
      <c r="Q29" s="181"/>
      <c r="R29" s="3"/>
      <c r="S29" s="3"/>
      <c r="T29" s="3"/>
      <c r="U29" s="3"/>
      <c r="V29" s="3"/>
      <c r="W29" s="3"/>
      <c r="X29" s="3"/>
    </row>
    <row r="30" spans="1:24" ht="15.75" thickBot="1" x14ac:dyDescent="0.3">
      <c r="A30" s="6"/>
      <c r="B30" s="115"/>
      <c r="C30" s="7"/>
      <c r="D30" s="7"/>
      <c r="E30" s="7"/>
      <c r="F30" s="13"/>
      <c r="G30" s="7"/>
      <c r="H30" s="7"/>
      <c r="I30" s="7"/>
      <c r="J30" s="13"/>
      <c r="K30" s="16"/>
      <c r="L30" s="7"/>
      <c r="M30" s="7"/>
      <c r="N30" s="7"/>
      <c r="O30" s="13"/>
      <c r="P30" s="7"/>
      <c r="Q30" s="322"/>
      <c r="R30" s="3"/>
      <c r="S30" s="3"/>
      <c r="T30" s="3"/>
      <c r="U30" s="3"/>
      <c r="V30" s="3"/>
      <c r="W30" s="3"/>
      <c r="X30" s="3"/>
    </row>
    <row r="31" spans="1:24" x14ac:dyDescent="0.25">
      <c r="R31" s="3"/>
      <c r="S31" s="3"/>
      <c r="T31" s="3"/>
      <c r="U31" s="3"/>
      <c r="V31" s="3"/>
      <c r="W31" s="3"/>
      <c r="X31" s="3"/>
    </row>
    <row r="32" spans="1:24" ht="15.75" thickBot="1" x14ac:dyDescent="0.3">
      <c r="R32" s="3"/>
      <c r="S32" s="3"/>
      <c r="T32" s="3"/>
      <c r="U32" s="3"/>
      <c r="V32" s="3"/>
      <c r="W32" s="3"/>
      <c r="X32" s="3"/>
    </row>
    <row r="33" spans="1:24" x14ac:dyDescent="0.25">
      <c r="A33" s="23"/>
      <c r="B33" s="4"/>
      <c r="C33" s="4"/>
      <c r="D33" s="4"/>
      <c r="E33" s="4"/>
      <c r="F33" s="146"/>
      <c r="G33" s="4"/>
      <c r="H33" s="4"/>
      <c r="I33" s="4"/>
      <c r="J33" s="4"/>
      <c r="K33" s="4"/>
      <c r="L33" s="4"/>
      <c r="M33" s="4"/>
      <c r="N33" s="4"/>
      <c r="O33" s="4"/>
      <c r="P33" s="4"/>
      <c r="Q33" s="316"/>
      <c r="R33" s="2"/>
      <c r="S33" s="2"/>
      <c r="T33" s="2"/>
      <c r="U33" s="3"/>
      <c r="V33" s="3"/>
      <c r="W33" s="2"/>
      <c r="X33" s="2"/>
    </row>
    <row r="34" spans="1:24" x14ac:dyDescent="0.25">
      <c r="A34" s="5"/>
      <c r="B34" s="67"/>
      <c r="C34" s="3"/>
      <c r="D34" s="3"/>
      <c r="E34" s="3"/>
      <c r="F34" s="147"/>
      <c r="G34" s="3"/>
      <c r="H34" s="3"/>
      <c r="I34" s="3"/>
      <c r="J34" s="327"/>
      <c r="K34" s="327"/>
      <c r="L34" s="3"/>
      <c r="M34" s="3"/>
      <c r="N34" s="3"/>
      <c r="O34" s="3"/>
      <c r="P34" s="3"/>
      <c r="Q34" s="181"/>
      <c r="R34" s="3"/>
      <c r="S34" s="3"/>
      <c r="T34" s="3"/>
      <c r="U34" s="3"/>
      <c r="V34" s="3"/>
      <c r="W34" s="3"/>
      <c r="X34" s="3"/>
    </row>
    <row r="35" spans="1:24" x14ac:dyDescent="0.25">
      <c r="A35" s="5"/>
      <c r="B35" s="67"/>
      <c r="C35" s="3"/>
      <c r="D35" s="3"/>
      <c r="E35" s="3"/>
      <c r="F35" s="147"/>
      <c r="G35" s="3"/>
      <c r="H35" s="3"/>
      <c r="I35" s="3"/>
      <c r="J35" s="327"/>
      <c r="K35" s="327"/>
      <c r="L35" s="3"/>
      <c r="M35" s="3"/>
      <c r="N35" s="3"/>
      <c r="O35" s="3"/>
      <c r="P35" s="3"/>
      <c r="Q35" s="181"/>
      <c r="R35" s="3"/>
      <c r="S35" s="3"/>
      <c r="T35" s="3"/>
      <c r="U35" s="3"/>
      <c r="V35" s="3"/>
      <c r="W35" s="3"/>
      <c r="X35" s="3"/>
    </row>
    <row r="36" spans="1:24" x14ac:dyDescent="0.25">
      <c r="A36" s="5"/>
      <c r="B36" s="67"/>
      <c r="C36" s="3"/>
      <c r="D36" s="3"/>
      <c r="E36" s="3"/>
      <c r="F36" s="147"/>
      <c r="G36" s="3"/>
      <c r="H36" s="3"/>
      <c r="I36" s="3"/>
      <c r="J36" s="327"/>
      <c r="K36" s="327"/>
      <c r="L36" s="3"/>
      <c r="M36" s="3"/>
      <c r="N36" s="3"/>
      <c r="O36" s="3"/>
      <c r="P36" s="3"/>
      <c r="Q36" s="181"/>
      <c r="R36" s="3"/>
      <c r="S36" s="3"/>
      <c r="T36" s="3"/>
      <c r="U36" s="3"/>
      <c r="V36" s="3"/>
      <c r="W36" s="3"/>
      <c r="X36" s="3"/>
    </row>
    <row r="37" spans="1:24" x14ac:dyDescent="0.25">
      <c r="A37" s="5"/>
      <c r="B37" s="67"/>
      <c r="C37" s="3"/>
      <c r="D37" s="3"/>
      <c r="E37" s="3"/>
      <c r="F37" s="147"/>
      <c r="G37" s="3"/>
      <c r="H37" s="3"/>
      <c r="I37" s="3"/>
      <c r="J37" s="327"/>
      <c r="K37" s="327"/>
      <c r="L37" s="3"/>
      <c r="M37" s="3"/>
      <c r="N37" s="3"/>
      <c r="O37" s="3"/>
      <c r="P37" s="3"/>
      <c r="Q37" s="181"/>
      <c r="R37" s="3"/>
      <c r="S37" s="3"/>
      <c r="T37" s="3"/>
      <c r="U37" s="3"/>
      <c r="V37" s="3"/>
      <c r="W37" s="3"/>
      <c r="X37" s="3"/>
    </row>
    <row r="38" spans="1:24" x14ac:dyDescent="0.25">
      <c r="A38" s="5"/>
      <c r="B38" s="67"/>
      <c r="C38" s="3"/>
      <c r="D38" s="3"/>
      <c r="E38" s="3"/>
      <c r="F38" s="147"/>
      <c r="G38" s="3"/>
      <c r="H38" s="3"/>
      <c r="I38" s="3"/>
      <c r="J38" s="327"/>
      <c r="K38" s="327"/>
      <c r="L38" s="3"/>
      <c r="M38" s="3"/>
      <c r="N38" s="3"/>
      <c r="O38" s="3"/>
      <c r="P38" s="3"/>
      <c r="Q38" s="181"/>
      <c r="R38" s="3"/>
      <c r="S38" s="3"/>
      <c r="T38" s="3"/>
      <c r="U38" s="3"/>
      <c r="V38" s="3"/>
      <c r="W38" s="3"/>
      <c r="X38" s="3"/>
    </row>
    <row r="39" spans="1:24" x14ac:dyDescent="0.25">
      <c r="A39" s="5"/>
      <c r="B39" s="67"/>
      <c r="C39" s="3"/>
      <c r="D39" s="3"/>
      <c r="E39" s="3"/>
      <c r="F39" s="147"/>
      <c r="G39" s="3"/>
      <c r="H39" s="3"/>
      <c r="I39" s="3"/>
      <c r="J39" s="327"/>
      <c r="K39" s="327"/>
      <c r="L39" s="3"/>
      <c r="M39" s="3"/>
      <c r="N39" s="3"/>
      <c r="O39" s="3"/>
      <c r="P39" s="3"/>
      <c r="Q39" s="181"/>
      <c r="R39" s="3"/>
      <c r="S39" s="3"/>
      <c r="T39" s="3"/>
      <c r="U39" s="3"/>
      <c r="V39" s="3"/>
      <c r="W39" s="3"/>
      <c r="X39" s="3"/>
    </row>
    <row r="40" spans="1:24" x14ac:dyDescent="0.25">
      <c r="A40" s="5"/>
      <c r="B40" s="67"/>
      <c r="C40" s="3"/>
      <c r="D40" s="3"/>
      <c r="E40" s="3"/>
      <c r="F40" s="147"/>
      <c r="G40" s="3"/>
      <c r="H40" s="3"/>
      <c r="I40" s="3"/>
      <c r="J40" s="327"/>
      <c r="K40" s="327"/>
      <c r="L40" s="3"/>
      <c r="M40" s="3"/>
      <c r="N40" s="3"/>
      <c r="O40" s="3"/>
      <c r="P40" s="3"/>
      <c r="Q40" s="181"/>
      <c r="R40" s="3"/>
      <c r="S40" s="3"/>
      <c r="T40" s="3"/>
      <c r="U40" s="3"/>
      <c r="V40" s="3"/>
      <c r="W40" s="3"/>
      <c r="X40" s="3"/>
    </row>
    <row r="41" spans="1:24" x14ac:dyDescent="0.25">
      <c r="A41" s="43"/>
      <c r="B41" s="2"/>
      <c r="C41" s="2"/>
      <c r="D41" s="2"/>
      <c r="E41" s="2"/>
      <c r="F41" s="147"/>
      <c r="G41" s="2"/>
      <c r="H41" s="2"/>
      <c r="I41" s="2"/>
      <c r="J41" s="327"/>
      <c r="K41" s="327"/>
      <c r="L41" s="2"/>
      <c r="M41" s="2"/>
      <c r="N41" s="2"/>
      <c r="O41" s="2"/>
      <c r="P41" s="2"/>
      <c r="Q41" s="323"/>
      <c r="R41" s="2"/>
      <c r="S41" s="2"/>
      <c r="T41" s="2"/>
      <c r="U41" s="3"/>
      <c r="V41" s="3"/>
      <c r="W41" s="3"/>
      <c r="X41" s="3"/>
    </row>
    <row r="42" spans="1:24" x14ac:dyDescent="0.25">
      <c r="A42" s="5"/>
      <c r="B42" s="67"/>
      <c r="C42" s="3"/>
      <c r="D42" s="3"/>
      <c r="E42" s="3"/>
      <c r="F42" s="147"/>
      <c r="G42" s="3"/>
      <c r="H42" s="3"/>
      <c r="I42" s="3"/>
      <c r="J42" s="327"/>
      <c r="K42" s="327"/>
      <c r="L42" s="3"/>
      <c r="M42" s="3"/>
      <c r="N42" s="3"/>
      <c r="O42" s="3"/>
      <c r="P42" s="3"/>
      <c r="Q42" s="181"/>
      <c r="R42" s="3"/>
      <c r="S42" s="3"/>
      <c r="T42" s="3"/>
      <c r="U42" s="3"/>
      <c r="V42" s="3"/>
      <c r="W42" s="3"/>
      <c r="X42" s="3"/>
    </row>
    <row r="43" spans="1:24" x14ac:dyDescent="0.25">
      <c r="A43" s="5"/>
      <c r="B43" s="67"/>
      <c r="C43" s="3"/>
      <c r="D43" s="3"/>
      <c r="E43" s="3"/>
      <c r="F43" s="147"/>
      <c r="G43" s="3"/>
      <c r="H43" s="3"/>
      <c r="I43" s="3"/>
      <c r="J43" s="327"/>
      <c r="K43" s="327"/>
      <c r="L43" s="3"/>
      <c r="M43" s="3"/>
      <c r="N43" s="3"/>
      <c r="O43" s="3"/>
      <c r="P43" s="3"/>
      <c r="Q43" s="181"/>
      <c r="R43" s="3"/>
      <c r="S43" s="3"/>
      <c r="T43" s="3"/>
      <c r="U43" s="3"/>
      <c r="V43" s="3"/>
      <c r="W43" s="3"/>
      <c r="X43" s="3"/>
    </row>
    <row r="44" spans="1:24" x14ac:dyDescent="0.25">
      <c r="A44" s="5"/>
      <c r="B44" s="67"/>
      <c r="C44" s="3"/>
      <c r="D44" s="3"/>
      <c r="E44" s="3"/>
      <c r="F44" s="147"/>
      <c r="G44" s="3"/>
      <c r="H44" s="3"/>
      <c r="I44" s="3"/>
      <c r="J44" s="327"/>
      <c r="K44" s="327"/>
      <c r="L44" s="3"/>
      <c r="M44" s="3"/>
      <c r="N44" s="3"/>
      <c r="O44" s="3"/>
      <c r="P44" s="3"/>
      <c r="Q44" s="181"/>
      <c r="R44" s="3"/>
      <c r="S44" s="3"/>
      <c r="T44" s="3"/>
      <c r="U44" s="3"/>
      <c r="V44" s="3"/>
      <c r="W44" s="3"/>
      <c r="X44" s="3"/>
    </row>
    <row r="45" spans="1:24" x14ac:dyDescent="0.25">
      <c r="A45" s="5"/>
      <c r="B45" s="67"/>
      <c r="C45" s="3"/>
      <c r="D45" s="3"/>
      <c r="E45" s="3"/>
      <c r="F45" s="147"/>
      <c r="G45" s="3"/>
      <c r="H45" s="3"/>
      <c r="I45" s="3"/>
      <c r="J45" s="327"/>
      <c r="K45" s="327"/>
      <c r="L45" s="3"/>
      <c r="M45" s="3"/>
      <c r="N45" s="3"/>
      <c r="O45" s="3"/>
      <c r="P45" s="3"/>
      <c r="Q45" s="181"/>
      <c r="R45" s="3"/>
      <c r="S45" s="3"/>
      <c r="T45" s="3"/>
      <c r="U45" s="3"/>
      <c r="V45" s="3"/>
      <c r="W45" s="3"/>
      <c r="X45" s="3"/>
    </row>
    <row r="46" spans="1:24" x14ac:dyDescent="0.25">
      <c r="A46" s="5"/>
      <c r="B46" s="67"/>
      <c r="C46" s="3"/>
      <c r="D46" s="3"/>
      <c r="E46" s="3"/>
      <c r="F46" s="147"/>
      <c r="G46" s="3"/>
      <c r="H46" s="5"/>
      <c r="I46" s="3"/>
      <c r="J46" s="327"/>
      <c r="K46" s="327"/>
      <c r="L46" s="3"/>
      <c r="M46" s="3"/>
      <c r="N46" s="3"/>
      <c r="O46" s="3"/>
      <c r="P46" s="3"/>
      <c r="Q46" s="181"/>
      <c r="R46" s="3"/>
      <c r="S46" s="3"/>
      <c r="T46" s="3"/>
      <c r="U46" s="3"/>
      <c r="V46" s="3"/>
      <c r="W46" s="3"/>
      <c r="X46" s="3"/>
    </row>
    <row r="47" spans="1:24" x14ac:dyDescent="0.25">
      <c r="A47" s="5"/>
      <c r="B47" s="67"/>
      <c r="C47" s="3"/>
      <c r="D47" s="3"/>
      <c r="E47" s="3"/>
      <c r="F47" s="147"/>
      <c r="G47" s="3"/>
      <c r="H47" s="3"/>
      <c r="I47" s="3"/>
      <c r="J47" s="327"/>
      <c r="K47" s="327"/>
      <c r="L47" s="3"/>
      <c r="M47" s="3"/>
      <c r="N47" s="3"/>
      <c r="O47" s="3"/>
      <c r="P47" s="3"/>
      <c r="Q47" s="181"/>
      <c r="R47" s="3"/>
      <c r="S47" s="3"/>
      <c r="T47" s="3"/>
      <c r="U47" s="3"/>
      <c r="V47" s="3"/>
      <c r="W47" s="3"/>
      <c r="X47" s="3"/>
    </row>
    <row r="48" spans="1:24" x14ac:dyDescent="0.25">
      <c r="A48" s="5"/>
      <c r="B48" s="67"/>
      <c r="C48" s="3"/>
      <c r="D48" s="3"/>
      <c r="E48" s="3"/>
      <c r="F48" s="147"/>
      <c r="G48" s="3"/>
      <c r="H48" s="3"/>
      <c r="I48" s="3"/>
      <c r="J48" s="327"/>
      <c r="K48" s="327"/>
      <c r="L48" s="3"/>
      <c r="M48" s="3"/>
      <c r="N48" s="3"/>
      <c r="O48" s="3"/>
      <c r="P48" s="3"/>
      <c r="Q48" s="181"/>
      <c r="R48" s="3"/>
      <c r="S48" s="3"/>
      <c r="T48" s="3"/>
      <c r="U48" s="3"/>
      <c r="V48" s="3"/>
      <c r="W48" s="3"/>
      <c r="X48" s="3"/>
    </row>
    <row r="49" spans="1:24" x14ac:dyDescent="0.25">
      <c r="A49" s="5"/>
      <c r="B49" s="67"/>
      <c r="C49" s="3"/>
      <c r="D49" s="3"/>
      <c r="E49" s="3"/>
      <c r="F49" s="147"/>
      <c r="G49" s="3"/>
      <c r="H49" s="3"/>
      <c r="I49" s="3"/>
      <c r="J49" s="327"/>
      <c r="K49" s="327"/>
      <c r="L49" s="3"/>
      <c r="M49" s="3"/>
      <c r="N49" s="3"/>
      <c r="O49" s="3"/>
      <c r="P49" s="3"/>
      <c r="Q49" s="181"/>
      <c r="R49" s="3"/>
      <c r="S49" s="3"/>
      <c r="T49" s="3"/>
      <c r="U49" s="3"/>
      <c r="V49" s="3"/>
      <c r="W49" s="3"/>
      <c r="X49" s="3"/>
    </row>
    <row r="50" spans="1:24" x14ac:dyDescent="0.25">
      <c r="A50" s="5"/>
      <c r="B50" s="67"/>
      <c r="C50" s="3"/>
      <c r="D50" s="3"/>
      <c r="E50" s="3"/>
      <c r="F50" s="147"/>
      <c r="G50" s="3"/>
      <c r="H50" s="3"/>
      <c r="I50" s="3"/>
      <c r="J50" s="327"/>
      <c r="K50" s="327"/>
      <c r="L50" s="3"/>
      <c r="M50" s="3"/>
      <c r="N50" s="3"/>
      <c r="O50" s="3"/>
      <c r="P50" s="3"/>
      <c r="Q50" s="181"/>
      <c r="R50" s="3"/>
      <c r="S50" s="3"/>
      <c r="T50" s="3"/>
      <c r="U50" s="3"/>
      <c r="V50" s="3"/>
      <c r="W50" s="3"/>
      <c r="X50" s="3"/>
    </row>
    <row r="51" spans="1:24" x14ac:dyDescent="0.25">
      <c r="A51" s="5"/>
      <c r="B51" s="67"/>
      <c r="C51" s="3"/>
      <c r="D51" s="3"/>
      <c r="E51" s="3"/>
      <c r="F51" s="147"/>
      <c r="G51" s="3"/>
      <c r="H51" s="3"/>
      <c r="I51" s="3"/>
      <c r="J51" s="327"/>
      <c r="K51" s="327"/>
      <c r="L51" s="3"/>
      <c r="M51" s="3"/>
      <c r="N51" s="3"/>
      <c r="O51" s="3"/>
      <c r="P51" s="3"/>
      <c r="Q51" s="181"/>
      <c r="R51" s="3"/>
      <c r="S51" s="3"/>
      <c r="T51" s="3"/>
      <c r="U51" s="3"/>
      <c r="V51" s="3"/>
      <c r="W51" s="3"/>
      <c r="X51" s="3"/>
    </row>
    <row r="52" spans="1:24" x14ac:dyDescent="0.25">
      <c r="A52" s="5"/>
      <c r="B52" s="67"/>
      <c r="C52" s="3"/>
      <c r="D52" s="3"/>
      <c r="E52" s="3"/>
      <c r="F52" s="147"/>
      <c r="G52" s="3"/>
      <c r="H52" s="3"/>
      <c r="I52" s="3"/>
      <c r="J52" s="327"/>
      <c r="K52" s="327"/>
      <c r="L52" s="3"/>
      <c r="M52" s="3"/>
      <c r="N52" s="3"/>
      <c r="O52" s="3"/>
      <c r="P52" s="3"/>
      <c r="Q52" s="181"/>
      <c r="R52" s="3"/>
      <c r="S52" s="3"/>
      <c r="T52" s="3"/>
      <c r="U52" s="3"/>
      <c r="V52" s="3"/>
      <c r="W52" s="3"/>
      <c r="X52" s="3"/>
    </row>
    <row r="53" spans="1:24" x14ac:dyDescent="0.25">
      <c r="A53" s="206"/>
      <c r="B53" s="67"/>
      <c r="C53" s="3"/>
      <c r="D53" s="3"/>
      <c r="E53" s="3"/>
      <c r="F53" s="147"/>
      <c r="G53" s="3"/>
      <c r="H53" s="3"/>
      <c r="I53" s="3"/>
      <c r="J53" s="327"/>
      <c r="K53" s="327"/>
      <c r="L53" s="3"/>
      <c r="M53" s="3"/>
      <c r="N53" s="3"/>
      <c r="O53" s="3"/>
      <c r="P53" s="3"/>
      <c r="Q53" s="181"/>
      <c r="R53" s="3"/>
      <c r="S53" s="3"/>
      <c r="T53" s="3"/>
      <c r="U53" s="3"/>
      <c r="V53" s="3"/>
      <c r="W53" s="3"/>
      <c r="X53" s="3"/>
    </row>
    <row r="54" spans="1:24" x14ac:dyDescent="0.25">
      <c r="A54" s="206"/>
      <c r="B54" s="67"/>
      <c r="C54" s="3"/>
      <c r="D54" s="3"/>
      <c r="E54" s="3"/>
      <c r="F54" s="147"/>
      <c r="G54" s="3"/>
      <c r="H54" s="3"/>
      <c r="I54" s="3"/>
      <c r="J54" s="327"/>
      <c r="K54" s="327"/>
      <c r="L54" s="3"/>
      <c r="M54" s="3"/>
      <c r="N54" s="3"/>
      <c r="O54" s="3"/>
      <c r="P54" s="3"/>
      <c r="Q54" s="181"/>
      <c r="R54" s="3"/>
      <c r="S54" s="3"/>
      <c r="T54" s="3"/>
      <c r="U54" s="3"/>
      <c r="V54" s="3"/>
      <c r="W54" s="3"/>
      <c r="X54" s="3"/>
    </row>
    <row r="55" spans="1:24" x14ac:dyDescent="0.25">
      <c r="A55" s="206"/>
      <c r="B55" s="67"/>
      <c r="C55" s="3"/>
      <c r="D55" s="3"/>
      <c r="E55" s="3"/>
      <c r="F55" s="147"/>
      <c r="G55" s="3"/>
      <c r="H55" s="3"/>
      <c r="I55" s="3"/>
      <c r="J55" s="327"/>
      <c r="K55" s="327"/>
      <c r="L55" s="3"/>
      <c r="M55" s="3"/>
      <c r="N55" s="3"/>
      <c r="O55" s="3"/>
      <c r="P55" s="3"/>
      <c r="Q55" s="181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67"/>
      <c r="C56" s="3"/>
      <c r="D56" s="3"/>
      <c r="E56" s="3"/>
      <c r="F56" s="147"/>
      <c r="G56" s="3"/>
      <c r="H56" s="3"/>
      <c r="I56" s="3"/>
      <c r="J56" s="327"/>
      <c r="K56" s="327"/>
      <c r="L56" s="3"/>
      <c r="M56" s="3"/>
      <c r="N56" s="3"/>
      <c r="O56" s="3"/>
      <c r="P56" s="3"/>
      <c r="Q56" s="181"/>
      <c r="R56" s="3"/>
      <c r="S56" s="3"/>
      <c r="T56" s="3"/>
      <c r="U56" s="3"/>
      <c r="V56" s="3"/>
      <c r="W56" s="3"/>
      <c r="X56" s="3"/>
    </row>
    <row r="57" spans="1:24" x14ac:dyDescent="0.25">
      <c r="A57" s="43"/>
      <c r="B57" s="2"/>
      <c r="C57" s="2"/>
      <c r="D57" s="2"/>
      <c r="E57" s="2"/>
      <c r="F57" s="147"/>
      <c r="G57" s="2"/>
      <c r="H57" s="2"/>
      <c r="I57" s="2"/>
      <c r="J57" s="327"/>
      <c r="K57" s="327"/>
      <c r="L57" s="2"/>
      <c r="M57" s="2"/>
      <c r="N57" s="2"/>
      <c r="O57" s="2"/>
      <c r="P57" s="2"/>
      <c r="Q57" s="323"/>
      <c r="R57" s="2"/>
      <c r="S57" s="2"/>
      <c r="T57" s="2"/>
      <c r="U57" s="3"/>
      <c r="V57" s="3"/>
      <c r="W57" s="3"/>
      <c r="X57" s="3"/>
    </row>
    <row r="58" spans="1:24" x14ac:dyDescent="0.25">
      <c r="A58" s="5"/>
      <c r="B58" s="67"/>
      <c r="C58" s="3"/>
      <c r="D58" s="3"/>
      <c r="E58" s="3"/>
      <c r="F58" s="147"/>
      <c r="G58" s="3"/>
      <c r="H58" s="3"/>
      <c r="I58" s="3"/>
      <c r="J58" s="327"/>
      <c r="K58" s="327"/>
      <c r="L58" s="3"/>
      <c r="M58" s="3"/>
      <c r="N58" s="3"/>
      <c r="O58" s="3"/>
      <c r="P58" s="3"/>
      <c r="Q58" s="181"/>
      <c r="R58" s="3"/>
      <c r="S58" s="3"/>
      <c r="T58" s="3"/>
      <c r="U58" s="3"/>
      <c r="V58" s="3"/>
      <c r="W58" s="3"/>
      <c r="X58" s="3"/>
    </row>
    <row r="59" spans="1:24" x14ac:dyDescent="0.25">
      <c r="A59" s="81"/>
      <c r="B59" s="314"/>
      <c r="C59" s="56"/>
      <c r="D59" s="56"/>
      <c r="E59" s="56"/>
      <c r="F59" s="315"/>
      <c r="G59" s="56"/>
      <c r="H59" s="56"/>
      <c r="I59" s="56"/>
      <c r="J59" s="327"/>
      <c r="K59" s="327"/>
      <c r="L59" s="56"/>
      <c r="M59" s="56"/>
      <c r="N59" s="56"/>
      <c r="O59" s="56"/>
      <c r="P59" s="56"/>
      <c r="Q59" s="324"/>
      <c r="R59" s="3"/>
      <c r="S59" s="3"/>
      <c r="T59" s="3"/>
      <c r="U59" s="3"/>
      <c r="V59" s="3"/>
      <c r="W59" s="3"/>
      <c r="X59" s="3"/>
    </row>
    <row r="60" spans="1:24" x14ac:dyDescent="0.25">
      <c r="A60" s="3"/>
      <c r="B60" s="67"/>
      <c r="C60" s="3"/>
      <c r="D60" s="3"/>
      <c r="E60" s="3"/>
      <c r="F60" s="147"/>
      <c r="G60" s="3"/>
      <c r="H60" s="3"/>
      <c r="I60" s="3"/>
      <c r="J60" s="327"/>
      <c r="K60" s="327"/>
      <c r="L60" s="3"/>
      <c r="M60" s="3"/>
      <c r="N60" s="3"/>
      <c r="O60" s="3"/>
      <c r="P60" s="3"/>
      <c r="Q60" s="181"/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67"/>
      <c r="C61" s="3"/>
      <c r="D61" s="3"/>
      <c r="E61" s="3"/>
      <c r="F61" s="147"/>
      <c r="G61" s="3"/>
      <c r="H61" s="3"/>
      <c r="I61" s="3"/>
      <c r="J61" s="327"/>
      <c r="K61" s="327"/>
      <c r="L61" s="3"/>
      <c r="M61" s="3"/>
      <c r="N61" s="3"/>
      <c r="O61" s="3"/>
      <c r="P61" s="3"/>
      <c r="Q61" s="181"/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67"/>
      <c r="C62" s="3"/>
      <c r="D62" s="3"/>
      <c r="E62" s="3"/>
      <c r="F62" s="147"/>
      <c r="G62" s="3"/>
      <c r="H62" s="3"/>
      <c r="I62" s="3"/>
      <c r="J62" s="327"/>
      <c r="K62" s="327"/>
      <c r="L62" s="3"/>
      <c r="M62" s="3"/>
      <c r="N62" s="3"/>
      <c r="O62" s="3"/>
      <c r="P62" s="3"/>
      <c r="Q62" s="181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67"/>
      <c r="C63" s="3"/>
      <c r="D63" s="3"/>
      <c r="E63" s="3"/>
      <c r="F63" s="147"/>
      <c r="G63" s="3"/>
      <c r="H63" s="3"/>
      <c r="I63" s="3"/>
      <c r="J63" s="327"/>
      <c r="K63" s="327"/>
      <c r="L63" s="3"/>
      <c r="M63" s="3"/>
      <c r="N63" s="3"/>
      <c r="O63" s="3"/>
      <c r="P63" s="3"/>
      <c r="Q63" s="181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203"/>
      <c r="C64" s="3"/>
      <c r="D64" s="3"/>
      <c r="E64" s="3"/>
      <c r="F64" s="166"/>
      <c r="G64" s="3"/>
      <c r="H64" s="3"/>
      <c r="I64" s="3"/>
      <c r="J64" s="327"/>
      <c r="K64" s="327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27"/>
      <c r="K65" s="327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27"/>
      <c r="K66" s="327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27"/>
      <c r="K67" s="327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27"/>
      <c r="K68" s="327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27"/>
      <c r="K69" s="327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Contract Performance</vt:lpstr>
      <vt:lpstr>Perm Performance</vt:lpstr>
      <vt:lpstr>WNF Tracker</vt:lpstr>
      <vt:lpstr>People</vt:lpstr>
      <vt:lpstr>Deal Tracker</vt:lpstr>
      <vt:lpstr>Deal Tracker Perm</vt:lpstr>
      <vt:lpstr>Customer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2024-03-04T08:58:26Z</dcterms:created>
  <dcterms:modified xsi:type="dcterms:W3CDTF">2026-10-08T07:39:50Z</dcterms:modified>
</cp:coreProperties>
</file>