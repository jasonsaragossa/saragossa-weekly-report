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ragossa-my.sharepoint.com/personal/louis_saragossa_io/Documents/Desktop/"/>
    </mc:Choice>
  </mc:AlternateContent>
  <xr:revisionPtr revIDLastSave="96" documentId="8_{37BF8CF1-18E7-4D9A-A87A-3418D51E4573}" xr6:coauthVersionLast="47" xr6:coauthVersionMax="47" xr10:uidLastSave="{26331AF6-31D9-4708-9F76-3B3216F31EC5}"/>
  <bookViews>
    <workbookView minimized="1" xWindow="2052" yWindow="1380" windowWidth="17280" windowHeight="8880" xr2:uid="{C990990D-D588-4527-983B-3054C0C521B8}"/>
  </bookViews>
  <sheets>
    <sheet name="Performance" sheetId="1" r:id="rId1"/>
    <sheet name="WNF Tracker" sheetId="4" r:id="rId2"/>
    <sheet name="% Performance - Jonny use only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<sst xmlns="http://schemas.openxmlformats.org/spreadsheetml/2006/main" count="123" uniqueCount="123">
  <si>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Book</t>
  </si>
  <si>
    <t>2025 Avg.</t>
  </si>
  <si>
    <t>P1</t>
  </si>
  <si>
    <t>P2</t>
  </si>
  <si>
    <t>P3</t>
  </si>
  <si>
    <t>Q1 Avg</t>
  </si>
  <si>
    <t>P4</t>
  </si>
  <si>
    <t xml:space="preserve">P5 </t>
  </si>
  <si>
    <t>P6</t>
  </si>
  <si>
    <t>Q2 Avg</t>
  </si>
  <si>
    <t>H1 Avg</t>
  </si>
  <si>
    <t>P7</t>
  </si>
  <si>
    <t>P8</t>
  </si>
  <si>
    <t>P9</t>
  </si>
  <si>
    <t>Q3 Avg</t>
  </si>
  <si>
    <t>P10</t>
  </si>
  <si>
    <t>P11</t>
  </si>
  <si>
    <t>P12</t>
  </si>
  <si>
    <t>Q4 Avg</t>
  </si>
  <si>
    <t>H2 Avg</t>
  </si>
  <si>
    <t>Annualised Avg</t>
  </si>
  <si>
    <t>TRWNF last day of period</t>
  </si>
  <si>
    <t>£6413</t>
  </si>
  <si>
    <t># of runners</t>
  </si>
  <si>
    <t>Avg WNF of runner book</t>
  </si>
  <si>
    <t>Starters next period</t>
  </si>
  <si>
    <t>£743.71</t>
  </si>
  <si>
    <t>Finishers next period (No, Unsure, Update Required)</t>
  </si>
  <si>
    <t>WNF forecast for end of month</t>
  </si>
  <si>
    <t>Deals</t>
  </si>
  <si>
    <t>Number of deals</t>
  </si>
  <si>
    <t>NDWNF added</t>
  </si>
  <si>
    <t>£1209</t>
  </si>
  <si>
    <t>Average WNF of new deals</t>
  </si>
  <si>
    <t>Average length of contract (weeks)</t>
  </si>
  <si>
    <t>Number of clients placed with</t>
  </si>
  <si>
    <t>Interviews</t>
  </si>
  <si>
    <t>Number of interviews</t>
  </si>
  <si>
    <t>Number of unique interviews</t>
  </si>
  <si>
    <t>Number of JMIs</t>
  </si>
  <si>
    <t>IV:Placement ratio</t>
  </si>
  <si>
    <t>Unique IV: Placement ratio</t>
  </si>
  <si>
    <t>Number of jobs w/ IV</t>
  </si>
  <si>
    <t>Number of clients w/ IV</t>
  </si>
  <si>
    <t>Jobs</t>
  </si>
  <si>
    <t>A jobs</t>
  </si>
  <si>
    <t>B jobs</t>
  </si>
  <si>
    <t>C jobs</t>
  </si>
  <si>
    <t>Total Added</t>
  </si>
  <si>
    <t>% of commitment</t>
  </si>
  <si>
    <t>Jobs: placement ratio</t>
  </si>
  <si>
    <t>A jobs: placement ratio</t>
  </si>
  <si>
    <t>B jobs: placement ratio</t>
  </si>
  <si>
    <t>C jobs: placement ratio</t>
  </si>
  <si>
    <t>F jobs</t>
  </si>
  <si>
    <t>P jobs</t>
  </si>
  <si>
    <t>Total pipelined</t>
  </si>
  <si>
    <t>Speculative jobs</t>
  </si>
  <si>
    <t>Speculative jobs covered</t>
  </si>
  <si>
    <t>% covered</t>
  </si>
  <si>
    <t>Jobs filled A</t>
  </si>
  <si>
    <t>Jobs filled B</t>
  </si>
  <si>
    <t>Jobs filled C</t>
  </si>
  <si>
    <t>A jobs % of placements</t>
  </si>
  <si>
    <t>B jobs % of placements</t>
  </si>
  <si>
    <t>C jobs % of placements</t>
  </si>
  <si>
    <t>A jobs carried into period</t>
  </si>
  <si>
    <t>B jobs carried into period</t>
  </si>
  <si>
    <t>C jobs carried into period</t>
  </si>
  <si>
    <t>Total jobs carried</t>
  </si>
  <si>
    <t>Meetings</t>
  </si>
  <si>
    <t>Client meetings</t>
  </si>
  <si>
    <t>Candidate meetings</t>
  </si>
  <si>
    <t>Activity Drivers</t>
  </si>
  <si>
    <t>Candidate calls</t>
  </si>
  <si>
    <t>Contractor leads pulled</t>
  </si>
  <si>
    <t>Manager referral names pulled</t>
  </si>
  <si>
    <t>% intel gained</t>
  </si>
  <si>
    <t>BD calls - no pitch</t>
  </si>
  <si>
    <t>BD calls or follow up calls - pitch delivered</t>
  </si>
  <si>
    <t>BD Emails sent</t>
  </si>
  <si>
    <t>Reference calls</t>
  </si>
  <si>
    <t>Team Customers</t>
  </si>
  <si>
    <t>New customers w/ placements done i.e. no live runners on site</t>
  </si>
  <si>
    <t>New customers w/ A,B,C,F,P jobs added  i.e. no live runners on site</t>
  </si>
  <si>
    <t>New customers w/ meetings booked i.e. no live runners on site</t>
  </si>
  <si>
    <t>Closing WNF in Period</t>
  </si>
  <si>
    <t>December 2024 finish #</t>
  </si>
  <si>
    <t xml:space="preserve">Month </t>
  </si>
  <si>
    <t xml:space="preserve">Name </t>
  </si>
  <si>
    <t>Output (M)</t>
  </si>
  <si>
    <t>Results (M)</t>
  </si>
  <si>
    <t>Behaviour</t>
  </si>
  <si>
    <t>WNF Added (M)</t>
  </si>
  <si>
    <t>Deals (M)</t>
  </si>
  <si>
    <t>Monthly Result</t>
  </si>
  <si>
    <t>WNF Added (YTD)</t>
  </si>
  <si>
    <t>Deals (YTD)</t>
  </si>
  <si>
    <t xml:space="preserve">YTD Result </t>
  </si>
  <si>
    <t>Total</t>
  </si>
  <si>
    <t>Output Examples</t>
  </si>
  <si>
    <t>Target</t>
  </si>
  <si>
    <t>Actual</t>
  </si>
  <si>
    <t>% completed</t>
  </si>
  <si>
    <t>Results Examples</t>
  </si>
  <si>
    <t> </t>
  </si>
  <si>
    <t>Client calls</t>
  </si>
  <si>
    <t>Unique interviews</t>
  </si>
  <si>
    <t>What areas can be improved?</t>
  </si>
  <si>
    <t>Client Meetings</t>
  </si>
  <si>
    <t>A-C jobs</t>
  </si>
  <si>
    <t>What specifically do you think can be developed?</t>
  </si>
  <si>
    <t>References</t>
  </si>
  <si>
    <t>F/P jobs</t>
  </si>
  <si>
    <t>Manager Referral</t>
  </si>
  <si>
    <t>Contractor Lead Gained</t>
  </si>
  <si>
    <t>This is the total of the % divided by the number of logged targets</t>
  </si>
  <si>
    <t>Behaviour Examples</t>
  </si>
  <si>
    <t>Time keeping</t>
  </si>
  <si>
    <t>Attitude</t>
  </si>
  <si>
    <t>Following best practice</t>
  </si>
  <si>
    <t>Team work and participation</t>
  </si>
  <si>
    <t xml:space="preserve">Mentoring (for more senior)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</si>
</sst>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0" borderId="9" xfId="0" applyBorder="1"/>
    <xf numFmtId="0" fontId="1" fillId="2" borderId="8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2" fillId="0" borderId="0" xfId="0" applyFont="1"/>
    <xf numFmtId="164" fontId="0" fillId="0" borderId="10" xfId="0" applyNumberFormat="1" applyBorder="1"/>
    <xf numFmtId="164" fontId="0" fillId="0" borderId="6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0" fontId="0" fillId="0" borderId="11" xfId="0" applyBorder="1"/>
    <xf numFmtId="0" fontId="0" fillId="0" borderId="12" xfId="0" applyBorder="1"/>
    <xf numFmtId="164" fontId="0" fillId="0" borderId="12" xfId="0" applyNumberFormat="1" applyBorder="1"/>
    <xf numFmtId="1" fontId="0" fillId="0" borderId="4" xfId="0" applyNumberFormat="1" applyBorder="1"/>
    <xf numFmtId="1" fontId="0" fillId="0" borderId="1" xfId="0" applyNumberFormat="1" applyBorder="1"/>
    <xf numFmtId="0" fontId="1" fillId="2" borderId="13" xfId="0" applyFont="1" applyFill="1" applyBorder="1"/>
    <xf numFmtId="165" fontId="0" fillId="0" borderId="14" xfId="0" applyNumberFormat="1" applyBorder="1"/>
    <xf numFmtId="0" fontId="0" fillId="0" borderId="14" xfId="0" applyBorder="1"/>
    <xf numFmtId="164" fontId="0" fillId="0" borderId="15" xfId="0" applyNumberFormat="1" applyBorder="1"/>
    <xf numFmtId="0" fontId="0" fillId="0" borderId="15" xfId="0" applyBorder="1"/>
    <xf numFmtId="164" fontId="0" fillId="0" borderId="16" xfId="0" applyNumberFormat="1" applyBorder="1"/>
    <xf numFmtId="0" fontId="0" fillId="2" borderId="17" xfId="0" applyFill="1" applyBorder="1"/>
    <xf numFmtId="1" fontId="0" fillId="0" borderId="14" xfId="0" applyNumberFormat="1" applyBorder="1"/>
    <xf numFmtId="0" fontId="0" fillId="0" borderId="16" xfId="0" applyBorder="1"/>
    <xf numFmtId="9" fontId="0" fillId="0" borderId="14" xfId="0" applyNumberFormat="1" applyBorder="1"/>
    <xf numFmtId="0" fontId="1" fillId="2" borderId="18" xfId="0" applyFont="1" applyFill="1" applyBorder="1"/>
    <xf numFmtId="165" fontId="0" fillId="0" borderId="19" xfId="0" applyNumberFormat="1" applyBorder="1"/>
    <xf numFmtId="0" fontId="0" fillId="0" borderId="19" xfId="0" applyBorder="1"/>
    <xf numFmtId="164" fontId="0" fillId="0" borderId="20" xfId="0" applyNumberFormat="1" applyBorder="1"/>
    <xf numFmtId="0" fontId="0" fillId="0" borderId="20" xfId="0" applyBorder="1"/>
    <xf numFmtId="164" fontId="0" fillId="0" borderId="21" xfId="0" applyNumberFormat="1" applyBorder="1"/>
    <xf numFmtId="0" fontId="0" fillId="2" borderId="22" xfId="0" applyFill="1" applyBorder="1"/>
    <xf numFmtId="1" fontId="0" fillId="0" borderId="19" xfId="0" applyNumberFormat="1" applyBorder="1"/>
    <xf numFmtId="0" fontId="0" fillId="0" borderId="21" xfId="0" applyBorder="1"/>
    <xf numFmtId="9" fontId="0" fillId="0" borderId="19" xfId="0" applyNumberFormat="1" applyBorder="1"/>
    <xf numFmtId="9" fontId="0" fillId="0" borderId="12" xfId="0" applyNumberFormat="1" applyBorder="1"/>
    <xf numFmtId="9" fontId="0" fillId="0" borderId="15" xfId="0" applyNumberFormat="1" applyBorder="1"/>
    <xf numFmtId="9" fontId="0" fillId="0" borderId="20" xfId="0" applyNumberFormat="1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9" fontId="0" fillId="0" borderId="10" xfId="0" applyNumberFormat="1" applyBorder="1"/>
    <xf numFmtId="9" fontId="0" fillId="0" borderId="24" xfId="0" applyNumberFormat="1" applyBorder="1"/>
    <xf numFmtId="9" fontId="0" fillId="0" borderId="25" xfId="0" applyNumberFormat="1" applyBorder="1"/>
    <xf numFmtId="0" fontId="2" fillId="2" borderId="9" xfId="0" applyFont="1" applyFill="1" applyBorder="1"/>
    <xf numFmtId="0" fontId="0" fillId="2" borderId="10" xfId="0" applyFill="1" applyBorder="1"/>
    <xf numFmtId="0" fontId="0" fillId="2" borderId="24" xfId="0" applyFill="1" applyBorder="1"/>
    <xf numFmtId="0" fontId="0" fillId="2" borderId="25" xfId="0" applyFill="1" applyBorder="1"/>
    <xf numFmtId="0" fontId="3" fillId="2" borderId="9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3" xfId="0" applyFill="1" applyBorder="1"/>
    <xf numFmtId="0" fontId="0" fillId="3" borderId="18" xfId="0" applyFill="1" applyBorder="1"/>
    <xf numFmtId="0" fontId="0" fillId="3" borderId="26" xfId="0" applyFill="1" applyBorder="1"/>
    <xf numFmtId="0" fontId="0" fillId="3" borderId="23" xfId="0" applyFill="1" applyBorder="1"/>
    <xf numFmtId="0" fontId="0" fillId="6" borderId="18" xfId="0" applyFill="1" applyBorder="1"/>
    <xf numFmtId="0" fontId="0" fillId="6" borderId="8" xfId="0" applyFill="1" applyBorder="1"/>
    <xf numFmtId="0" fontId="0" fillId="6" borderId="13" xfId="0" applyFill="1" applyBorder="1"/>
    <xf numFmtId="0" fontId="0" fillId="6" borderId="7" xfId="0" applyFill="1" applyBorder="1"/>
    <xf numFmtId="0" fontId="0" fillId="6" borderId="23" xfId="0" applyFill="1" applyBorder="1"/>
    <xf numFmtId="2" fontId="0" fillId="0" borderId="1" xfId="0" applyNumberFormat="1" applyBorder="1"/>
    <xf numFmtId="2" fontId="0" fillId="0" borderId="14" xfId="0" applyNumberFormat="1" applyBorder="1"/>
    <xf numFmtId="2" fontId="0" fillId="0" borderId="19" xfId="0" applyNumberFormat="1" applyBorder="1"/>
    <xf numFmtId="2" fontId="0" fillId="0" borderId="12" xfId="0" applyNumberFormat="1" applyBorder="1"/>
    <xf numFmtId="2" fontId="0" fillId="0" borderId="15" xfId="0" applyNumberFormat="1" applyBorder="1"/>
    <xf numFmtId="2" fontId="0" fillId="0" borderId="20" xfId="0" applyNumberFormat="1" applyBorder="1"/>
    <xf numFmtId="0" fontId="4" fillId="0" borderId="0" xfId="0" applyFont="1"/>
    <xf numFmtId="0" fontId="5" fillId="0" borderId="1" xfId="0" applyFont="1" applyBorder="1"/>
    <xf numFmtId="0" fontId="5" fillId="0" borderId="19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4" fillId="0" borderId="28" xfId="0" applyFont="1" applyBorder="1"/>
    <xf numFmtId="0" fontId="4" fillId="0" borderId="30" xfId="0" applyFont="1" applyBorder="1"/>
    <xf numFmtId="0" fontId="4" fillId="0" borderId="10" xfId="0" applyFont="1" applyBorder="1"/>
    <xf numFmtId="0" fontId="4" fillId="0" borderId="25" xfId="0" applyFont="1" applyBorder="1"/>
    <xf numFmtId="0" fontId="4" fillId="0" borderId="31" xfId="0" applyFont="1" applyBorder="1"/>
    <xf numFmtId="0" fontId="4" fillId="0" borderId="32" xfId="0" applyFont="1" applyBorder="1"/>
    <xf numFmtId="9" fontId="4" fillId="0" borderId="0" xfId="0" applyNumberFormat="1" applyFont="1"/>
    <xf numFmtId="0" fontId="0" fillId="0" borderId="31" xfId="0" applyBorder="1"/>
    <xf numFmtId="0" fontId="5" fillId="0" borderId="33" xfId="0" applyFont="1" applyBorder="1"/>
    <xf numFmtId="0" fontId="5" fillId="0" borderId="34" xfId="0" applyFont="1" applyBorder="1"/>
    <xf numFmtId="9" fontId="4" fillId="0" borderId="34" xfId="0" applyNumberFormat="1" applyFont="1" applyBorder="1"/>
    <xf numFmtId="0" fontId="5" fillId="0" borderId="35" xfId="0" applyFont="1" applyBorder="1" applyAlignment="1">
      <alignment wrapText="1"/>
    </xf>
    <xf numFmtId="0" fontId="5" fillId="0" borderId="36" xfId="0" applyFont="1" applyBorder="1"/>
    <xf numFmtId="0" fontId="4" fillId="0" borderId="37" xfId="0" applyFont="1" applyBorder="1"/>
    <xf numFmtId="0" fontId="5" fillId="0" borderId="0" xfId="0" applyFont="1"/>
    <xf numFmtId="9" fontId="4" fillId="0" borderId="25" xfId="0" applyNumberFormat="1" applyFont="1" applyBorder="1"/>
    <xf numFmtId="9" fontId="4" fillId="0" borderId="38" xfId="0" applyNumberFormat="1" applyFont="1" applyBorder="1"/>
    <xf numFmtId="9" fontId="5" fillId="0" borderId="25" xfId="0" applyNumberFormat="1" applyFont="1" applyBorder="1"/>
    <xf numFmtId="0" fontId="5" fillId="2" borderId="19" xfId="0" applyFont="1" applyFill="1" applyBorder="1"/>
    <xf numFmtId="9" fontId="5" fillId="2" borderId="25" xfId="0" applyNumberFormat="1" applyFont="1" applyFill="1" applyBorder="1"/>
    <xf numFmtId="0" fontId="2" fillId="2" borderId="18" xfId="0" applyFont="1" applyFill="1" applyBorder="1"/>
    <xf numFmtId="0" fontId="2" fillId="2" borderId="22" xfId="0" applyFont="1" applyFill="1" applyBorder="1"/>
    <xf numFmtId="0" fontId="2" fillId="2" borderId="25" xfId="0" applyFont="1" applyFill="1" applyBorder="1"/>
    <xf numFmtId="0" fontId="3" fillId="2" borderId="25" xfId="0" applyFont="1" applyFill="1" applyBorder="1"/>
    <xf numFmtId="0" fontId="0" fillId="7" borderId="20" xfId="0" applyFill="1" applyBorder="1"/>
    <xf numFmtId="0" fontId="0" fillId="7" borderId="21" xfId="0" applyFill="1" applyBorder="1"/>
    <xf numFmtId="1" fontId="0" fillId="7" borderId="19" xfId="0" applyNumberFormat="1" applyFill="1" applyBorder="1"/>
    <xf numFmtId="0" fontId="0" fillId="7" borderId="19" xfId="0" applyFill="1" applyBorder="1"/>
    <xf numFmtId="0" fontId="0" fillId="7" borderId="25" xfId="0" applyFill="1" applyBorder="1"/>
    <xf numFmtId="0" fontId="0" fillId="7" borderId="10" xfId="0" applyFill="1" applyBorder="1"/>
    <xf numFmtId="0" fontId="0" fillId="7" borderId="1" xfId="0" applyFill="1" applyBorder="1"/>
    <xf numFmtId="164" fontId="0" fillId="7" borderId="12" xfId="0" applyNumberFormat="1" applyFill="1" applyBorder="1"/>
    <xf numFmtId="0" fontId="1" fillId="2" borderId="39" xfId="0" applyFont="1" applyFill="1" applyBorder="1"/>
    <xf numFmtId="165" fontId="0" fillId="2" borderId="40" xfId="0" applyNumberFormat="1" applyFill="1" applyBorder="1"/>
    <xf numFmtId="0" fontId="0" fillId="2" borderId="40" xfId="0" applyFill="1" applyBorder="1"/>
    <xf numFmtId="0" fontId="0" fillId="2" borderId="41" xfId="0" applyFill="1" applyBorder="1"/>
    <xf numFmtId="164" fontId="0" fillId="2" borderId="42" xfId="0" applyNumberFormat="1" applyFill="1" applyBorder="1"/>
    <xf numFmtId="0" fontId="0" fillId="3" borderId="43" xfId="0" applyFill="1" applyBorder="1"/>
    <xf numFmtId="0" fontId="0" fillId="2" borderId="44" xfId="0" applyFill="1" applyBorder="1"/>
    <xf numFmtId="1" fontId="0" fillId="2" borderId="41" xfId="0" applyNumberFormat="1" applyFill="1" applyBorder="1"/>
    <xf numFmtId="165" fontId="0" fillId="2" borderId="41" xfId="0" applyNumberFormat="1" applyFill="1" applyBorder="1"/>
    <xf numFmtId="2" fontId="0" fillId="2" borderId="40" xfId="0" applyNumberFormat="1" applyFill="1" applyBorder="1"/>
    <xf numFmtId="9" fontId="0" fillId="2" borderId="41" xfId="0" applyNumberFormat="1" applyFill="1" applyBorder="1"/>
    <xf numFmtId="2" fontId="0" fillId="2" borderId="41" xfId="0" applyNumberFormat="1" applyFill="1" applyBorder="1"/>
    <xf numFmtId="0" fontId="0" fillId="3" borderId="45" xfId="0" applyFill="1" applyBorder="1"/>
    <xf numFmtId="1" fontId="0" fillId="2" borderId="43" xfId="0" applyNumberFormat="1" applyFill="1" applyBorder="1"/>
    <xf numFmtId="9" fontId="0" fillId="2" borderId="43" xfId="0" applyNumberFormat="1" applyFill="1" applyBorder="1"/>
    <xf numFmtId="0" fontId="0" fillId="2" borderId="46" xfId="0" applyFill="1" applyBorder="1"/>
    <xf numFmtId="1" fontId="0" fillId="6" borderId="45" xfId="0" applyNumberFormat="1" applyFill="1" applyBorder="1"/>
    <xf numFmtId="1" fontId="0" fillId="6" borderId="47" xfId="0" applyNumberFormat="1" applyFill="1" applyBorder="1"/>
    <xf numFmtId="1" fontId="0" fillId="2" borderId="48" xfId="0" applyNumberFormat="1" applyFill="1" applyBorder="1"/>
    <xf numFmtId="1" fontId="0" fillId="2" borderId="49" xfId="0" applyNumberFormat="1" applyFill="1" applyBorder="1"/>
    <xf numFmtId="0" fontId="1" fillId="2" borderId="50" xfId="0" applyFont="1" applyFill="1" applyBorder="1"/>
    <xf numFmtId="165" fontId="0" fillId="2" borderId="51" xfId="0" applyNumberFormat="1" applyFill="1" applyBorder="1"/>
    <xf numFmtId="0" fontId="0" fillId="2" borderId="51" xfId="0" applyFill="1" applyBorder="1"/>
    <xf numFmtId="0" fontId="0" fillId="2" borderId="52" xfId="0" applyFill="1" applyBorder="1"/>
    <xf numFmtId="164" fontId="0" fillId="2" borderId="53" xfId="0" applyNumberFormat="1" applyFill="1" applyBorder="1"/>
    <xf numFmtId="0" fontId="0" fillId="3" borderId="31" xfId="0" applyFill="1" applyBorder="1"/>
    <xf numFmtId="0" fontId="0" fillId="2" borderId="54" xfId="0" applyFill="1" applyBorder="1"/>
    <xf numFmtId="1" fontId="0" fillId="2" borderId="52" xfId="0" applyNumberFormat="1" applyFill="1" applyBorder="1"/>
    <xf numFmtId="165" fontId="0" fillId="2" borderId="52" xfId="0" applyNumberFormat="1" applyFill="1" applyBorder="1"/>
    <xf numFmtId="2" fontId="0" fillId="2" borderId="51" xfId="0" applyNumberFormat="1" applyFill="1" applyBorder="1"/>
    <xf numFmtId="9" fontId="0" fillId="2" borderId="52" xfId="0" applyNumberFormat="1" applyFill="1" applyBorder="1"/>
    <xf numFmtId="2" fontId="0" fillId="2" borderId="52" xfId="0" applyNumberFormat="1" applyFill="1" applyBorder="1"/>
    <xf numFmtId="0" fontId="0" fillId="3" borderId="55" xfId="0" applyFill="1" applyBorder="1"/>
    <xf numFmtId="1" fontId="0" fillId="2" borderId="31" xfId="0" applyNumberFormat="1" applyFill="1" applyBorder="1"/>
    <xf numFmtId="9" fontId="0" fillId="2" borderId="31" xfId="0" applyNumberFormat="1" applyFill="1" applyBorder="1"/>
    <xf numFmtId="0" fontId="0" fillId="2" borderId="56" xfId="0" applyFill="1" applyBorder="1"/>
    <xf numFmtId="1" fontId="0" fillId="6" borderId="55" xfId="0" applyNumberFormat="1" applyFill="1" applyBorder="1"/>
    <xf numFmtId="1" fontId="0" fillId="6" borderId="57" xfId="0" applyNumberFormat="1" applyFill="1" applyBorder="1"/>
    <xf numFmtId="1" fontId="0" fillId="2" borderId="58" xfId="0" applyNumberFormat="1" applyFill="1" applyBorder="1"/>
    <xf numFmtId="1" fontId="0" fillId="2" borderId="59" xfId="0" applyNumberFormat="1" applyFill="1" applyBorder="1"/>
    <xf numFmtId="0" fontId="1" fillId="2" borderId="60" xfId="0" applyFont="1" applyFill="1" applyBorder="1"/>
    <xf numFmtId="165" fontId="0" fillId="4" borderId="61" xfId="0" applyNumberFormat="1" applyFill="1" applyBorder="1"/>
    <xf numFmtId="0" fontId="0" fillId="4" borderId="61" xfId="0" applyFill="1" applyBorder="1"/>
    <xf numFmtId="164" fontId="0" fillId="4" borderId="62" xfId="0" applyNumberFormat="1" applyFill="1" applyBorder="1"/>
    <xf numFmtId="0" fontId="0" fillId="4" borderId="62" xfId="0" applyFill="1" applyBorder="1"/>
    <xf numFmtId="164" fontId="0" fillId="4" borderId="63" xfId="0" applyNumberFormat="1" applyFill="1" applyBorder="1"/>
    <xf numFmtId="0" fontId="0" fillId="3" borderId="32" xfId="0" applyFill="1" applyBorder="1"/>
    <xf numFmtId="0" fontId="0" fillId="4" borderId="64" xfId="0" applyFill="1" applyBorder="1"/>
    <xf numFmtId="1" fontId="0" fillId="4" borderId="62" xfId="0" applyNumberFormat="1" applyFill="1" applyBorder="1"/>
    <xf numFmtId="165" fontId="0" fillId="4" borderId="62" xfId="0" applyNumberFormat="1" applyFill="1" applyBorder="1"/>
    <xf numFmtId="2" fontId="0" fillId="4" borderId="61" xfId="0" applyNumberFormat="1" applyFill="1" applyBorder="1"/>
    <xf numFmtId="9" fontId="0" fillId="4" borderId="62" xfId="0" applyNumberFormat="1" applyFill="1" applyBorder="1"/>
    <xf numFmtId="2" fontId="0" fillId="4" borderId="62" xfId="0" applyNumberFormat="1" applyFill="1" applyBorder="1"/>
    <xf numFmtId="0" fontId="0" fillId="3" borderId="65" xfId="0" applyFill="1" applyBorder="1"/>
    <xf numFmtId="1" fontId="0" fillId="4" borderId="32" xfId="0" applyNumberFormat="1" applyFill="1" applyBorder="1"/>
    <xf numFmtId="9" fontId="0" fillId="4" borderId="32" xfId="0" applyNumberFormat="1" applyFill="1" applyBorder="1"/>
    <xf numFmtId="0" fontId="0" fillId="4" borderId="66" xfId="0" applyFill="1" applyBorder="1"/>
    <xf numFmtId="1" fontId="0" fillId="6" borderId="65" xfId="0" applyNumberFormat="1" applyFill="1" applyBorder="1"/>
    <xf numFmtId="1" fontId="0" fillId="4" borderId="67" xfId="0" applyNumberFormat="1" applyFill="1" applyBorder="1"/>
    <xf numFmtId="0" fontId="1" fillId="2" borderId="68" xfId="0" applyFont="1" applyFill="1" applyBorder="1"/>
    <xf numFmtId="165" fontId="0" fillId="4" borderId="69" xfId="0" applyNumberFormat="1" applyFill="1" applyBorder="1"/>
    <xf numFmtId="0" fontId="0" fillId="4" borderId="69" xfId="0" applyFill="1" applyBorder="1"/>
    <xf numFmtId="164" fontId="0" fillId="4" borderId="70" xfId="0" applyNumberFormat="1" applyFill="1" applyBorder="1"/>
    <xf numFmtId="0" fontId="0" fillId="4" borderId="70" xfId="0" applyFill="1" applyBorder="1"/>
    <xf numFmtId="164" fontId="0" fillId="4" borderId="71" xfId="0" applyNumberFormat="1" applyFill="1" applyBorder="1"/>
    <xf numFmtId="0" fontId="0" fillId="4" borderId="72" xfId="0" applyFill="1" applyBorder="1"/>
    <xf numFmtId="1" fontId="0" fillId="4" borderId="70" xfId="0" applyNumberFormat="1" applyFill="1" applyBorder="1"/>
    <xf numFmtId="165" fontId="0" fillId="4" borderId="70" xfId="0" applyNumberFormat="1" applyFill="1" applyBorder="1"/>
    <xf numFmtId="2" fontId="0" fillId="4" borderId="69" xfId="0" applyNumberFormat="1" applyFill="1" applyBorder="1"/>
    <xf numFmtId="9" fontId="0" fillId="4" borderId="70" xfId="0" applyNumberFormat="1" applyFill="1" applyBorder="1"/>
    <xf numFmtId="2" fontId="0" fillId="4" borderId="70" xfId="0" applyNumberFormat="1" applyFill="1" applyBorder="1"/>
    <xf numFmtId="1" fontId="0" fillId="4" borderId="0" xfId="0" applyNumberFormat="1" applyFill="1"/>
    <xf numFmtId="9" fontId="0" fillId="4" borderId="0" xfId="0" applyNumberFormat="1" applyFill="1"/>
    <xf numFmtId="0" fontId="0" fillId="4" borderId="73" xfId="0" applyFill="1" applyBorder="1"/>
    <xf numFmtId="1" fontId="0" fillId="6" borderId="23" xfId="0" applyNumberFormat="1" applyFill="1" applyBorder="1"/>
    <xf numFmtId="1" fontId="0" fillId="6" borderId="74" xfId="0" applyNumberFormat="1" applyFill="1" applyBorder="1"/>
    <xf numFmtId="1" fontId="0" fillId="4" borderId="75" xfId="0" applyNumberFormat="1" applyFill="1" applyBorder="1"/>
    <xf numFmtId="1" fontId="0" fillId="4" borderId="76" xfId="0" applyNumberFormat="1" applyFill="1" applyBorder="1"/>
    <xf numFmtId="0" fontId="1" fillId="5" borderId="60" xfId="0" applyFont="1" applyFill="1" applyBorder="1"/>
    <xf numFmtId="165" fontId="0" fillId="5" borderId="61" xfId="0" applyNumberFormat="1" applyFill="1" applyBorder="1"/>
    <xf numFmtId="0" fontId="0" fillId="5" borderId="61" xfId="0" applyFill="1" applyBorder="1"/>
    <xf numFmtId="164" fontId="0" fillId="5" borderId="62" xfId="0" applyNumberFormat="1" applyFill="1" applyBorder="1"/>
    <xf numFmtId="0" fontId="0" fillId="5" borderId="62" xfId="0" applyFill="1" applyBorder="1"/>
    <xf numFmtId="164" fontId="0" fillId="5" borderId="63" xfId="0" applyNumberFormat="1" applyFill="1" applyBorder="1"/>
    <xf numFmtId="0" fontId="0" fillId="5" borderId="64" xfId="0" applyFill="1" applyBorder="1"/>
    <xf numFmtId="1" fontId="0" fillId="5" borderId="62" xfId="0" applyNumberFormat="1" applyFill="1" applyBorder="1"/>
    <xf numFmtId="165" fontId="0" fillId="5" borderId="62" xfId="0" applyNumberFormat="1" applyFill="1" applyBorder="1"/>
    <xf numFmtId="2" fontId="0" fillId="5" borderId="61" xfId="0" applyNumberFormat="1" applyFill="1" applyBorder="1"/>
    <xf numFmtId="9" fontId="0" fillId="5" borderId="62" xfId="0" applyNumberFormat="1" applyFill="1" applyBorder="1"/>
    <xf numFmtId="2" fontId="0" fillId="5" borderId="62" xfId="0" applyNumberFormat="1" applyFill="1" applyBorder="1"/>
    <xf numFmtId="1" fontId="0" fillId="5" borderId="32" xfId="0" applyNumberFormat="1" applyFill="1" applyBorder="1"/>
    <xf numFmtId="9" fontId="0" fillId="5" borderId="32" xfId="0" applyNumberFormat="1" applyFill="1" applyBorder="1"/>
    <xf numFmtId="0" fontId="0" fillId="5" borderId="66" xfId="0" applyFill="1" applyBorder="1"/>
    <xf numFmtId="1" fontId="0" fillId="6" borderId="77" xfId="0" applyNumberFormat="1" applyFill="1" applyBorder="1"/>
    <xf numFmtId="1" fontId="0" fillId="5" borderId="78" xfId="0" applyNumberFormat="1" applyFill="1" applyBorder="1"/>
    <xf numFmtId="1" fontId="0" fillId="5" borderId="67" xfId="0" applyNumberFormat="1" applyFill="1" applyBorder="1"/>
    <xf numFmtId="9" fontId="0" fillId="0" borderId="7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WNF Tracker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'WNF Tracker'!$B$3:$M$3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 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'WNF Tracker'!$B$4:$M$4</c:f>
              <c:numCache>
                <c:formatCode>"£"#,##0.00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C-498A-A5DD-BA24DC1A5E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0220551"/>
        <c:axId val="1770214407"/>
      </c:lineChart>
      <c:catAx>
        <c:axId val="177022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14407"/>
        <c:crosses val="autoZero"/>
        <c:auto val="1"/>
        <c:lblAlgn val="ctr"/>
        <c:lblOffset val="100"/>
        <c:noMultiLvlLbl val="0"/>
      </c:catAx>
      <c:valAx>
        <c:axId val="1770214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2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496421</xdr:colOff>
      <xdr:row>6</xdr:row>
      <xdr:rowOff>88153</xdr:rowOff>
    </xdr:from>
    <xdr:to>
      <xdr:col>7</xdr:col>
      <xdr:colOff>694765</xdr:colOff>
      <xdr:row>20</xdr:row>
      <xdr:rowOff>164353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FB09C5-C325-0EB6-E18F-76D9EC94E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8ED1-BD59-4052-BA8C-660C8D129890}">
  <dimension ref="A1:AAD76"/>
  <sheetViews>
    <sheetView tabSelected="1" topLeftCell="A17" zoomScale="85" zoomScaleNormal="85" workbookViewId="0">
      <selection activeCell="M40" sqref="M40"/>
    </sheetView>
  </sheetViews>
  <sheetFormatPr defaultRowHeight="14.45"/>
  <cols>
    <col min="1" max="1" width="58.140625" bestFit="1" customWidth="1"/>
    <col min="2" max="2" width="15.42578125" customWidth="1"/>
    <col min="3" max="20" width="10.5703125" customWidth="1"/>
    <col min="21" max="21" width="14.5703125" customWidth="1"/>
  </cols>
  <sheetData>
    <row r="1" spans="1:706" s="1" customFormat="1" ht="23.45">
      <c r="A1" s="11" t="s">
        <v>0</v>
      </c>
      <c r="B1" s="100" t="s">
        <v>1</v>
      </c>
      <c r="C1" s="9" t="s">
        <v>2</v>
      </c>
      <c r="D1" s="9" t="s">
        <v>3</v>
      </c>
      <c r="E1" s="22" t="s">
        <v>4</v>
      </c>
      <c r="F1" s="112" t="s">
        <v>5</v>
      </c>
      <c r="G1" s="32" t="s">
        <v>6</v>
      </c>
      <c r="H1" s="9" t="s">
        <v>7</v>
      </c>
      <c r="I1" s="22" t="s">
        <v>8</v>
      </c>
      <c r="J1" s="132" t="s">
        <v>9</v>
      </c>
      <c r="K1" s="152" t="s">
        <v>10</v>
      </c>
      <c r="L1" s="32" t="s">
        <v>11</v>
      </c>
      <c r="M1" s="9" t="s">
        <v>12</v>
      </c>
      <c r="N1" s="22" t="s">
        <v>13</v>
      </c>
      <c r="O1" s="112" t="s">
        <v>14</v>
      </c>
      <c r="P1" s="32" t="s">
        <v>15</v>
      </c>
      <c r="Q1" s="9" t="s">
        <v>16</v>
      </c>
      <c r="R1" s="22" t="s">
        <v>17</v>
      </c>
      <c r="S1" s="132" t="s">
        <v>18</v>
      </c>
      <c r="T1" s="171" t="s">
        <v>19</v>
      </c>
      <c r="U1" s="190" t="s">
        <v>20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</row>
    <row r="2" spans="1:706">
      <c r="A2" s="4" t="s">
        <v>21</v>
      </c>
      <c r="B2" s="107" t="s">
        <v>22</v>
      </c>
      <c r="C2" s="15"/>
      <c r="D2" s="15"/>
      <c r="E2" s="23"/>
      <c r="F2" s="113"/>
      <c r="G2" s="33"/>
      <c r="H2" s="15"/>
      <c r="I2" s="23"/>
      <c r="J2" s="133"/>
      <c r="K2" s="153"/>
      <c r="L2" s="33"/>
      <c r="M2" s="15"/>
      <c r="N2" s="23"/>
      <c r="O2" s="113"/>
      <c r="P2" s="33"/>
      <c r="Q2" s="15"/>
      <c r="R2" s="23"/>
      <c r="S2" s="133"/>
      <c r="T2" s="172"/>
      <c r="U2" s="191"/>
    </row>
    <row r="3" spans="1:706">
      <c r="A3" s="4" t="s">
        <v>23</v>
      </c>
      <c r="B3" s="107"/>
      <c r="C3" s="2"/>
      <c r="D3" s="2"/>
      <c r="E3" s="24"/>
      <c r="F3" s="114"/>
      <c r="G3" s="34"/>
      <c r="H3" s="2"/>
      <c r="I3" s="24"/>
      <c r="J3" s="134"/>
      <c r="K3" s="154"/>
      <c r="L3" s="34"/>
      <c r="M3" s="2"/>
      <c r="N3" s="24"/>
      <c r="O3" s="114"/>
      <c r="P3" s="34"/>
      <c r="Q3" s="2"/>
      <c r="R3" s="24"/>
      <c r="S3" s="134"/>
      <c r="T3" s="173"/>
      <c r="U3" s="192"/>
    </row>
    <row r="4" spans="1:706">
      <c r="A4" s="17" t="s">
        <v>24</v>
      </c>
      <c r="B4" s="111"/>
      <c r="C4" s="19">
        <f>C2/C3</f>
      </c>
      <c r="D4" s="19">
        <f>D2/D3</f>
      </c>
      <c r="E4" s="25">
        <f t="shared" ref="E4:R4" si="0">E2/E3</f>
      </c>
      <c r="F4" s="115">
        <f>(C4+D4+E4)/3</f>
      </c>
      <c r="G4" s="35">
        <f t="shared" si="0"/>
        <v>725</v>
      </c>
      <c r="H4" s="19">
        <f t="shared" si="0"/>
        <v>776.83333333333337</v>
      </c>
      <c r="I4" s="25">
        <f t="shared" si="0"/>
        <v>778.9473684210526</v>
      </c>
      <c r="J4" s="135">
        <f>(G4+H4+I4)/3</f>
      </c>
      <c r="K4" s="155">
        <f>(F4+J4)/2</f>
      </c>
      <c r="L4" s="35">
        <f t="shared" si="0"/>
        <v>691.9375</v>
      </c>
      <c r="M4" s="19" t="e">
        <f t="shared" si="0"/>
        <v>#DIV/0!</v>
      </c>
      <c r="N4" s="25">
        <f t="shared" si="0"/>
        <v>664</v>
      </c>
      <c r="O4" s="115" t="e">
        <f>(L4+M4+N4)/3</f>
      </c>
      <c r="P4" s="35" t="e">
        <f t="shared" si="0"/>
        <v>#DIV/0!</v>
      </c>
      <c r="Q4" s="19" t="e">
        <f t="shared" si="0"/>
        <v>#DIV/0!</v>
      </c>
      <c r="R4" s="25" t="e">
        <f t="shared" si="0"/>
        <v>#DIV/0!</v>
      </c>
      <c r="S4" s="135" t="e">
        <f>(P4+Q4+R4)/3</f>
      </c>
      <c r="T4" s="174" t="e">
        <f>(O4+S4)/2</f>
      </c>
      <c r="U4" s="193" t="e">
        <f>(K4+T4)/2</f>
      </c>
    </row>
    <row r="5" spans="1:706">
      <c r="A5" s="17"/>
      <c r="B5" s="104"/>
      <c r="C5" s="18"/>
      <c r="D5" s="18"/>
      <c r="E5" s="26"/>
      <c r="F5" s="115"/>
      <c r="G5" s="36"/>
      <c r="H5" s="18"/>
      <c r="I5" s="26"/>
      <c r="J5" s="135"/>
      <c r="K5" s="156"/>
      <c r="L5" s="36"/>
      <c r="M5" s="18"/>
      <c r="N5" s="26"/>
      <c r="O5" s="115"/>
      <c r="P5" s="36"/>
      <c r="Q5" s="18"/>
      <c r="R5" s="26"/>
      <c r="S5" s="135"/>
      <c r="T5" s="175"/>
      <c r="U5" s="194"/>
    </row>
    <row r="6" spans="1:706">
      <c r="A6" s="17" t="s">
        <v>25</v>
      </c>
      <c r="B6" s="104" t="s">
        <v>26</v>
      </c>
      <c r="C6" s="18"/>
      <c r="D6" s="18"/>
      <c r="E6" s="26"/>
      <c r="F6" s="115">
        <f>(C6+D6+E6)/3</f>
      </c>
      <c r="G6" s="36"/>
      <c r="H6" s="18"/>
      <c r="I6" s="26"/>
      <c r="J6" s="135">
        <f>(G6+H6+I6)/3</f>
      </c>
      <c r="K6" s="155">
        <f>(F6+J6)/2</f>
      </c>
      <c r="L6" s="36"/>
      <c r="M6" s="18"/>
      <c r="N6" s="26"/>
      <c r="O6" s="115">
        <f>(L6+M6+N6)/3</f>
      </c>
      <c r="P6" s="36"/>
      <c r="Q6" s="18"/>
      <c r="R6" s="26"/>
      <c r="S6" s="135">
        <f>(P6+Q6+R6)/3</f>
      </c>
      <c r="T6" s="174">
        <f>(O6+S6)/2</f>
      </c>
      <c r="U6" s="193">
        <f>(K6+T6)/2</f>
      </c>
    </row>
    <row r="7" spans="1:706">
      <c r="A7" s="17" t="s">
        <v>27</v>
      </c>
      <c r="B7" s="104"/>
      <c r="C7" s="18"/>
      <c r="D7" s="18"/>
      <c r="E7" s="26"/>
      <c r="F7" s="115"/>
      <c r="G7" s="36"/>
      <c r="H7" s="18"/>
      <c r="I7" s="26"/>
      <c r="J7" s="135">
        <f>(G7+H7+I7)/3</f>
      </c>
      <c r="K7" s="155">
        <f>(F7+J7)/2</f>
      </c>
      <c r="L7" s="36"/>
      <c r="M7" s="18"/>
      <c r="N7" s="26"/>
      <c r="O7" s="115">
        <f>(L7+M7+N7)/3</f>
      </c>
      <c r="P7" s="36"/>
      <c r="Q7" s="18"/>
      <c r="R7" s="26"/>
      <c r="S7" s="135">
        <f>(P7+Q7+R7)/3</f>
      </c>
      <c r="T7" s="174">
        <f>(O7+S7)/2</f>
      </c>
      <c r="U7" s="193">
        <f>(K7+T7)/2</f>
      </c>
    </row>
    <row r="8" spans="1:706">
      <c r="A8" s="5" t="s">
        <v>28</v>
      </c>
      <c r="B8" s="105"/>
      <c r="C8" s="14">
        <f>(C2+C6)-C7</f>
      </c>
      <c r="D8" s="14">
        <f>(D2+D6)-D7</f>
      </c>
      <c r="E8" s="27">
        <f>(E2+E6)-E7</f>
      </c>
      <c r="F8" s="116"/>
      <c r="G8" s="37">
        <f t="shared" ref="G8:R8" si="1">(G2+G6)-G7</f>
      </c>
      <c r="H8" s="14">
        <f t="shared" si="1"/>
        <v>13484</v>
      </c>
      <c r="I8" s="27">
        <f t="shared" si="1"/>
        <v>15398.12</v>
      </c>
      <c r="J8" s="136"/>
      <c r="K8" s="157"/>
      <c r="L8" s="37">
        <f t="shared" si="1"/>
        <v>17167.5</v>
      </c>
      <c r="M8" s="14">
        <f t="shared" si="1"/>
        <v>0</v>
      </c>
      <c r="N8" s="27">
        <f t="shared" si="1"/>
        <v>18075.5</v>
      </c>
      <c r="O8" s="116">
        <f t="shared" si="1"/>
        <v>678.83333333333337</v>
      </c>
      <c r="P8" s="37">
        <f t="shared" si="1"/>
        <v>0</v>
      </c>
      <c r="Q8" s="14">
        <f t="shared" si="1"/>
        <v>0</v>
      </c>
      <c r="R8" s="27">
        <f t="shared" si="1"/>
        <v>0</v>
      </c>
      <c r="S8" s="136"/>
      <c r="T8" s="176"/>
      <c r="U8" s="195"/>
    </row>
    <row r="9" spans="1:706">
      <c r="A9" s="7"/>
      <c r="B9" s="7"/>
      <c r="C9" s="7"/>
      <c r="D9" s="7"/>
      <c r="E9" s="7"/>
      <c r="F9" s="117"/>
      <c r="G9" s="7"/>
      <c r="H9" s="7"/>
      <c r="I9" s="7"/>
      <c r="J9" s="137"/>
      <c r="K9" s="158"/>
      <c r="L9" s="7"/>
      <c r="M9" s="7"/>
      <c r="N9" s="7"/>
      <c r="O9" s="117"/>
      <c r="P9" s="7"/>
      <c r="Q9" s="7"/>
      <c r="R9" s="7"/>
      <c r="S9" s="137"/>
      <c r="T9" s="7"/>
      <c r="U9" s="158"/>
    </row>
    <row r="10" spans="1:706" s="1" customFormat="1" ht="23.45">
      <c r="A10" s="10" t="s">
        <v>29</v>
      </c>
      <c r="B10" s="101"/>
      <c r="C10" s="3"/>
      <c r="D10" s="3"/>
      <c r="E10" s="28"/>
      <c r="F10" s="118"/>
      <c r="G10" s="38"/>
      <c r="H10" s="3"/>
      <c r="I10" s="28"/>
      <c r="J10" s="138"/>
      <c r="K10" s="159"/>
      <c r="L10" s="38"/>
      <c r="M10" s="3"/>
      <c r="N10" s="28"/>
      <c r="O10" s="118"/>
      <c r="P10" s="38"/>
      <c r="Q10" s="3"/>
      <c r="R10" s="28"/>
      <c r="S10" s="138"/>
      <c r="T10" s="177"/>
      <c r="U10" s="196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</row>
    <row r="11" spans="1:706">
      <c r="A11" s="20" t="s">
        <v>30</v>
      </c>
      <c r="B11" s="106"/>
      <c r="C11" s="21"/>
      <c r="D11" s="21"/>
      <c r="E11" s="29"/>
      <c r="F11" s="119">
        <f>(C11+D11+E11)/3</f>
      </c>
      <c r="G11" s="39"/>
      <c r="H11" s="21"/>
      <c r="I11" s="29"/>
      <c r="J11" s="139">
        <f>(G11+H11+I11)/3</f>
      </c>
      <c r="K11" s="160">
        <f>(F11+J11)/2</f>
      </c>
      <c r="L11" s="39"/>
      <c r="M11" s="21"/>
      <c r="N11" s="29"/>
      <c r="O11" s="119">
        <f>(L11+M11+N11)/3</f>
      </c>
      <c r="P11" s="39"/>
      <c r="Q11" s="21"/>
      <c r="R11" s="29"/>
      <c r="S11" s="139">
        <f>(P11+Q11+R11)/3</f>
      </c>
      <c r="T11" s="178">
        <f>(O11+S11)/2</f>
      </c>
      <c r="U11" s="197">
        <f>(K11+T11)/2</f>
      </c>
    </row>
    <row r="12" spans="1:706">
      <c r="A12" s="4" t="s">
        <v>31</v>
      </c>
      <c r="B12" s="107" t="s">
        <v>32</v>
      </c>
      <c r="C12" s="15"/>
      <c r="D12" s="15"/>
      <c r="E12"/>
      <c r="F12" s="120">
        <f>(C12+D12+E12)/3</f>
      </c>
      <c r="G12" s="33"/>
      <c r="H12" s="15"/>
      <c r="I12" s="23"/>
      <c r="J12" s="140">
        <f>(G12+H12+I12)/3</f>
      </c>
      <c r="K12" s="161">
        <f>(F12+J12)/2</f>
      </c>
      <c r="L12" s="33"/>
      <c r="M12" s="15"/>
      <c r="N12" s="23"/>
      <c r="O12" s="120">
        <f>(L12+M12+N12)/3</f>
      </c>
      <c r="P12" s="33"/>
      <c r="Q12" s="15"/>
      <c r="R12" s="23"/>
      <c r="S12" s="140">
        <f>(P12+Q12+R12)/3</f>
      </c>
      <c r="T12" s="179">
        <f>(O12+S12)/2</f>
      </c>
      <c r="U12" s="198"/>
    </row>
    <row r="13" spans="1:706">
      <c r="A13" s="4" t="s">
        <v>33</v>
      </c>
      <c r="B13" s="107"/>
      <c r="C13" s="2">
        <f>C12/C11</f>
      </c>
      <c r="D13" s="2">
        <f t="shared" ref="D13:U13" si="2">D12/D11</f>
      </c>
      <c r="E13" s="24">
        <f t="shared" si="2"/>
        <v>504.24333333333334</v>
      </c>
      <c r="F13" s="114">
        <f t="shared" si="2"/>
        <v>569.92090909090916</v>
      </c>
      <c r="G13" s="34">
        <f t="shared" si="2"/>
        <v>834.375</v>
      </c>
      <c r="H13" s="2"/>
      <c r="I13" s="24">
        <f t="shared" si="2"/>
        <v>925.41666666666663</v>
      </c>
      <c r="J13" s="134">
        <f t="shared" si="2"/>
        <v>889</v>
      </c>
      <c r="K13" s="154">
        <f t="shared" si="2"/>
        <v>669.63312500000006</v>
      </c>
      <c r="L13" s="34">
        <f t="shared" si="2"/>
        <v>823.33333333333337</v>
      </c>
      <c r="M13" s="2" t="e">
        <f t="shared" si="2"/>
        <v>#DIV/0!</v>
      </c>
      <c r="N13" s="24">
        <f t="shared" si="2"/>
        <v>975</v>
      </c>
      <c r="O13" s="114">
        <f t="shared" si="2"/>
        <v>883.99999999999989</v>
      </c>
      <c r="P13" s="34" t="e">
        <f t="shared" si="2"/>
        <v>#DIV/0!</v>
      </c>
      <c r="Q13" s="2" t="e">
        <f t="shared" si="2"/>
        <v>#DIV/0!</v>
      </c>
      <c r="R13" s="24" t="e">
        <f t="shared" si="2"/>
        <v>#DIV/0!</v>
      </c>
      <c r="S13" s="134" t="e">
        <f t="shared" si="2"/>
        <v>#DIV/0!</v>
      </c>
      <c r="T13" s="173">
        <f t="shared" si="2"/>
        <v>883.99999999999989</v>
      </c>
      <c r="U13" s="192">
        <f t="shared" si="2"/>
        <v>298.28571428571428</v>
      </c>
    </row>
    <row r="14" spans="1:706">
      <c r="A14" s="4" t="s">
        <v>34</v>
      </c>
      <c r="B14" s="107"/>
      <c r="C14" s="2"/>
      <c r="D14" s="2"/>
      <c r="E14" s="24"/>
      <c r="F14" s="119">
        <f>(C14+D14+E14)/3</f>
      </c>
      <c r="G14" s="34"/>
      <c r="H14" s="2"/>
      <c r="I14" s="24"/>
      <c r="J14" s="139">
        <f>(G14+H14+I14)/3</f>
      </c>
      <c r="K14" s="160">
        <f>(F14+J14)/2</f>
      </c>
      <c r="L14" s="34"/>
      <c r="M14" s="2"/>
      <c r="N14" s="24"/>
      <c r="O14" s="119">
        <f>(L14+M14+N14)/3</f>
      </c>
      <c r="P14" s="34"/>
      <c r="Q14" s="2"/>
      <c r="R14" s="24"/>
      <c r="S14" s="139">
        <f>(P14+Q14+R14)/3</f>
      </c>
      <c r="T14" s="178">
        <f>(O14+S14)/2</f>
      </c>
      <c r="U14" s="197">
        <f>(K14+T14)/2</f>
      </c>
    </row>
    <row r="15" spans="1:706">
      <c r="A15" s="5" t="s">
        <v>35</v>
      </c>
      <c r="B15" s="105"/>
      <c r="C15" s="6"/>
      <c r="D15" s="6"/>
      <c r="E15" s="30"/>
      <c r="F15" s="119">
        <f>(C15+D15+E15)/3</f>
      </c>
      <c r="G15" s="40"/>
      <c r="H15" s="6"/>
      <c r="I15" s="30"/>
      <c r="J15" s="139">
        <f>(G15+H15+I15)/3</f>
      </c>
      <c r="K15" s="160">
        <f>(F15+J15)/2</f>
      </c>
      <c r="L15" s="40"/>
      <c r="M15" s="6"/>
      <c r="N15" s="30"/>
      <c r="O15" s="119">
        <f>(L15+M15+N15)/3</f>
      </c>
      <c r="P15" s="40"/>
      <c r="Q15" s="6"/>
      <c r="R15" s="30"/>
      <c r="S15" s="139">
        <f>(P15+Q15+R15)/3</f>
      </c>
      <c r="T15" s="178">
        <f>(O15+S15)/2</f>
      </c>
      <c r="U15" s="197">
        <f>(K15+T15)/2</f>
      </c>
    </row>
    <row r="16" spans="1:706">
      <c r="A16" s="7"/>
      <c r="B16" s="7"/>
      <c r="C16" s="7"/>
      <c r="D16" s="7"/>
      <c r="E16" s="7"/>
      <c r="F16" s="117"/>
      <c r="G16" s="7"/>
      <c r="H16" s="7"/>
      <c r="I16" s="7"/>
      <c r="J16" s="137"/>
      <c r="K16" s="158"/>
      <c r="L16" s="7"/>
      <c r="M16" s="7"/>
      <c r="N16" s="7"/>
      <c r="O16" s="117"/>
      <c r="P16" s="7"/>
      <c r="Q16" s="7"/>
      <c r="R16" s="7"/>
      <c r="S16" s="137"/>
      <c r="T16" s="7"/>
      <c r="U16" s="158"/>
    </row>
    <row r="17" spans="1:706" s="1" customFormat="1" ht="23.45">
      <c r="A17" s="10" t="s">
        <v>36</v>
      </c>
      <c r="B17" s="101"/>
      <c r="C17" s="3"/>
      <c r="D17" s="3"/>
      <c r="E17" s="28"/>
      <c r="F17" s="118"/>
      <c r="G17" s="38"/>
      <c r="H17" s="3"/>
      <c r="I17" s="28"/>
      <c r="J17" s="138"/>
      <c r="K17" s="159"/>
      <c r="L17" s="38"/>
      <c r="M17" s="3"/>
      <c r="N17" s="28"/>
      <c r="O17" s="118"/>
      <c r="P17" s="38"/>
      <c r="Q17" s="3"/>
      <c r="R17" s="28"/>
      <c r="S17" s="138"/>
      <c r="T17" s="177"/>
      <c r="U17" s="196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</row>
    <row r="18" spans="1:706">
      <c r="A18" s="4" t="s">
        <v>37</v>
      </c>
      <c r="B18" s="107"/>
      <c r="C18" s="2"/>
      <c r="D18" s="2"/>
      <c r="E18" s="24"/>
      <c r="F18" s="119">
        <f>(C18+D18+E18)/3</f>
      </c>
      <c r="G18" s="34"/>
      <c r="H18" s="2"/>
      <c r="I18" s="24"/>
      <c r="J18" s="139">
        <f>(G18+H18+I18)/3</f>
      </c>
      <c r="K18" s="160">
        <f>(F18+J18)/2</f>
      </c>
      <c r="L18" s="34"/>
      <c r="M18" s="2"/>
      <c r="N18" s="24"/>
      <c r="O18" s="119">
        <f>(L18+M18+N18)/3</f>
      </c>
      <c r="P18" s="34"/>
      <c r="Q18" s="2"/>
      <c r="R18" s="24"/>
      <c r="S18" s="139">
        <f>(P18+Q18+R18)/3</f>
      </c>
      <c r="T18" s="178">
        <f>(O18+S18)/2</f>
      </c>
      <c r="U18" s="197">
        <f>(K18+T18)/2</f>
      </c>
    </row>
    <row r="19" spans="1:706">
      <c r="A19" s="4" t="s">
        <v>38</v>
      </c>
      <c r="B19" s="107"/>
      <c r="C19" s="2"/>
      <c r="D19" s="2"/>
      <c r="E19" s="24"/>
      <c r="F19" s="119">
        <f t="shared" ref="F19:F20" si="3">(C19+D19+E19)/3</f>
      </c>
      <c r="G19" s="34"/>
      <c r="H19" s="2"/>
      <c r="I19" s="24"/>
      <c r="J19" s="139">
        <f t="shared" ref="J19" si="4">(G19+H19+I19)/3</f>
      </c>
      <c r="K19" s="160">
        <f t="shared" ref="K19" si="5">(F19+J19)/2</f>
      </c>
      <c r="L19" s="34"/>
      <c r="M19" s="2"/>
      <c r="N19" s="24"/>
      <c r="O19" s="119">
        <f t="shared" ref="O19:O20" si="6">(L19+M19+N19)/3</f>
      </c>
      <c r="P19" s="34"/>
      <c r="Q19" s="2"/>
      <c r="R19" s="24"/>
      <c r="S19" s="139">
        <f t="shared" ref="S19:S20" si="7">(P19+Q19+R19)/3</f>
      </c>
      <c r="T19" s="178">
        <f t="shared" ref="T19:T20" si="8">(O19+S19)/2</f>
      </c>
      <c r="U19" s="197">
        <f t="shared" ref="U19:U20" si="9">(K19+T19)/2</f>
      </c>
    </row>
    <row r="20" spans="1:706">
      <c r="A20" s="4" t="s">
        <v>39</v>
      </c>
      <c r="B20" s="107"/>
      <c r="C20" s="2"/>
      <c r="D20" s="2"/>
      <c r="E20" s="24"/>
      <c r="F20" s="119">
        <f t="shared" si="3"/>
        <v>3.6666666666666665</v>
      </c>
      <c r="G20" s="34"/>
      <c r="H20" s="2"/>
      <c r="I20" s="24"/>
      <c r="J20" s="139">
        <f>(G20+H20+I20)/3</f>
      </c>
      <c r="K20" s="160">
        <f>(F20+J20)/2</f>
      </c>
      <c r="L20" s="34"/>
      <c r="M20" s="2"/>
      <c r="N20" s="24"/>
      <c r="O20" s="119">
        <f t="shared" si="6"/>
        <v>2.3333333333333335</v>
      </c>
      <c r="P20" s="34"/>
      <c r="Q20" s="2"/>
      <c r="R20" s="24"/>
      <c r="S20" s="139">
        <f t="shared" si="7"/>
        <v>0</v>
      </c>
      <c r="T20" s="178">
        <f t="shared" si="8"/>
        <v>1.1666666666666667</v>
      </c>
      <c r="U20" s="197">
        <f t="shared" si="9"/>
        <v>2.1666666666666665</v>
      </c>
    </row>
    <row r="21" spans="1:706">
      <c r="A21" s="4" t="s">
        <v>40</v>
      </c>
      <c r="B21" s="107"/>
      <c r="C21" s="67">
        <f>C18/C11</f>
      </c>
      <c r="D21" s="67">
        <f t="shared" ref="D21:U21" si="10">D18/D11</f>
      </c>
      <c r="E21" s="68">
        <f t="shared" si="10"/>
        <v>2.1666666666666665</v>
      </c>
      <c r="F21" s="121">
        <f t="shared" si="10"/>
        <v>3.6363636363636367</v>
      </c>
      <c r="G21" s="69">
        <f t="shared" si="10"/>
        <v>4.5</v>
      </c>
      <c r="H21" s="67"/>
      <c r="I21" s="68">
        <f t="shared" si="10"/>
        <v>4.333333333333333</v>
      </c>
      <c r="J21" s="141">
        <f t="shared" si="10"/>
        <v>6.2</v>
      </c>
      <c r="K21" s="162">
        <f t="shared" si="10"/>
        <v>4.4375000000000009</v>
      </c>
      <c r="L21" s="69">
        <f t="shared" si="10"/>
        <v>1.6666666666666667</v>
      </c>
      <c r="M21" s="67" t="e">
        <f t="shared" si="10"/>
        <v>#DIV/0!</v>
      </c>
      <c r="N21" s="68">
        <f t="shared" si="10"/>
        <v>11.5</v>
      </c>
      <c r="O21" s="121">
        <f t="shared" si="10"/>
        <v>5.6000000000000005</v>
      </c>
      <c r="P21" s="69" t="e">
        <f t="shared" si="10"/>
        <v>#DIV/0!</v>
      </c>
      <c r="Q21" s="67" t="e">
        <f t="shared" si="10"/>
        <v>#DIV/0!</v>
      </c>
      <c r="R21" s="68" t="e">
        <f t="shared" si="10"/>
        <v>#DIV/0!</v>
      </c>
      <c r="S21" s="141" t="e">
        <f t="shared" si="10"/>
        <v>#DIV/0!</v>
      </c>
      <c r="T21" s="180">
        <f t="shared" si="10"/>
        <v>5.6000000000000005</v>
      </c>
      <c r="U21" s="199">
        <f t="shared" si="10"/>
        <v>4.7142857142857144</v>
      </c>
    </row>
    <row r="22" spans="1:706">
      <c r="A22" s="4" t="s">
        <v>41</v>
      </c>
      <c r="B22" s="107"/>
      <c r="C22" s="67">
        <f>C19/C11</f>
      </c>
      <c r="D22" s="67">
        <f t="shared" ref="D22:U22" si="11">D19/D11</f>
      </c>
      <c r="E22" s="68">
        <f t="shared" si="11"/>
        <v>2.1666666666666665</v>
      </c>
      <c r="F22" s="121">
        <f t="shared" si="11"/>
        <v>3.2727272727272729</v>
      </c>
      <c r="G22" s="69">
        <f t="shared" si="11"/>
        <v>3</v>
      </c>
      <c r="H22" s="67"/>
      <c r="I22" s="68">
        <f t="shared" si="11"/>
        <v>3.3333333333333335</v>
      </c>
      <c r="J22" s="141">
        <f t="shared" si="11"/>
        <v>5</v>
      </c>
      <c r="K22" s="162">
        <f t="shared" si="11"/>
        <v>3.8125000000000004</v>
      </c>
      <c r="L22" s="69">
        <f t="shared" si="11"/>
        <v>1.3333333333333333</v>
      </c>
      <c r="M22" s="67" t="e">
        <f t="shared" si="11"/>
        <v>#DIV/0!</v>
      </c>
      <c r="N22" s="68">
        <f t="shared" si="11"/>
        <v>7.5</v>
      </c>
      <c r="O22" s="121">
        <f t="shared" si="11"/>
        <v>3.8</v>
      </c>
      <c r="P22" s="69" t="e">
        <f t="shared" si="11"/>
        <v>#DIV/0!</v>
      </c>
      <c r="Q22" s="67" t="e">
        <f t="shared" si="11"/>
        <v>#DIV/0!</v>
      </c>
      <c r="R22" s="68" t="e">
        <f t="shared" si="11"/>
        <v>#DIV/0!</v>
      </c>
      <c r="S22" s="141" t="e">
        <f t="shared" si="11"/>
        <v>#DIV/0!</v>
      </c>
      <c r="T22" s="180">
        <f t="shared" si="11"/>
        <v>3.8</v>
      </c>
      <c r="U22" s="199">
        <f t="shared" si="11"/>
        <v>3.8095238095238098</v>
      </c>
    </row>
    <row r="23" spans="1:706">
      <c r="A23" s="4" t="s">
        <v>42</v>
      </c>
      <c r="B23" s="107"/>
      <c r="C23" s="2"/>
      <c r="D23" s="2"/>
      <c r="E23" s="24"/>
      <c r="F23" s="119">
        <f t="shared" ref="F23:F24" si="12">(C23+D23+E23)/3</f>
      </c>
      <c r="G23" s="34"/>
      <c r="H23" s="2"/>
      <c r="I23" s="24"/>
      <c r="J23" s="139">
        <f>(G23+H23+I23)/3</f>
      </c>
      <c r="K23" s="160">
        <f>(F23+J23)/2</f>
      </c>
      <c r="L23" s="34"/>
      <c r="M23" s="2"/>
      <c r="N23" s="24"/>
      <c r="O23" s="119">
        <f t="shared" ref="O23:O24" si="13">(L23+M23+N23)/3</f>
      </c>
      <c r="P23" s="34"/>
      <c r="Q23" s="2"/>
      <c r="R23" s="24"/>
      <c r="S23" s="139">
        <f t="shared" ref="S23:S24" si="14">(P23+Q23+R23)/3</f>
      </c>
      <c r="T23" s="178">
        <f t="shared" ref="T23:T24" si="15">(O23+S23)/2</f>
      </c>
      <c r="U23" s="197">
        <f t="shared" ref="U23:U24" si="16">(K23+T23)/2</f>
      </c>
    </row>
    <row r="24" spans="1:706">
      <c r="A24" s="5" t="s">
        <v>43</v>
      </c>
      <c r="B24" s="105"/>
      <c r="C24" s="6"/>
      <c r="D24" s="6"/>
      <c r="E24" s="30"/>
      <c r="F24" s="119">
        <f t="shared" si="12"/>
        <v>4.333333333333333</v>
      </c>
      <c r="G24" s="40"/>
      <c r="H24" s="6"/>
      <c r="I24" s="30"/>
      <c r="J24" s="139">
        <f>(G24+H24+I24)/3</f>
      </c>
      <c r="K24" s="160">
        <f>(F24+J24)/2</f>
      </c>
      <c r="L24" s="40"/>
      <c r="M24" s="6"/>
      <c r="N24" s="30"/>
      <c r="O24" s="119">
        <f t="shared" si="13"/>
        <v>3.3333333333333335</v>
      </c>
      <c r="P24" s="40"/>
      <c r="Q24" s="6"/>
      <c r="R24" s="30"/>
      <c r="S24" s="139">
        <f t="shared" si="14"/>
        <v>0</v>
      </c>
      <c r="T24" s="178">
        <f t="shared" si="15"/>
        <v>1.6666666666666667</v>
      </c>
      <c r="U24" s="197">
        <f t="shared" si="16"/>
        <v>2.4166666666666665</v>
      </c>
    </row>
    <row r="25" spans="1:706">
      <c r="A25" s="7"/>
      <c r="B25" s="7"/>
      <c r="C25" s="7"/>
      <c r="D25" s="7"/>
      <c r="E25" s="7"/>
      <c r="F25" s="117"/>
      <c r="G25" s="7"/>
      <c r="H25" s="7"/>
      <c r="I25" s="7"/>
      <c r="J25" s="137"/>
      <c r="K25" s="158"/>
      <c r="L25" s="7"/>
      <c r="M25" s="7"/>
      <c r="N25" s="7"/>
      <c r="O25" s="117"/>
      <c r="P25" s="7"/>
      <c r="Q25" s="7"/>
      <c r="R25" s="7"/>
      <c r="S25" s="137"/>
      <c r="T25" s="7"/>
      <c r="U25" s="158"/>
    </row>
    <row r="26" spans="1:706" s="1" customFormat="1" ht="23.45">
      <c r="A26" s="10" t="s">
        <v>44</v>
      </c>
      <c r="B26" s="101"/>
      <c r="C26" s="3"/>
      <c r="D26" s="3"/>
      <c r="E26" s="28"/>
      <c r="F26" s="118"/>
      <c r="G26" s="38"/>
      <c r="H26" s="3"/>
      <c r="I26" s="28"/>
      <c r="J26" s="138"/>
      <c r="K26" s="159"/>
      <c r="L26" s="38"/>
      <c r="M26" s="3"/>
      <c r="N26" s="28"/>
      <c r="O26" s="118"/>
      <c r="P26" s="38"/>
      <c r="Q26" s="3"/>
      <c r="R26" s="28"/>
      <c r="S26" s="138"/>
      <c r="T26" s="177"/>
      <c r="U26" s="19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</row>
    <row r="27" spans="1:706">
      <c r="A27" s="4" t="s">
        <v>45</v>
      </c>
      <c r="B27" s="107"/>
      <c r="C27" s="2"/>
      <c r="D27" s="2"/>
      <c r="E27" s="24"/>
      <c r="F27" s="119">
        <f t="shared" ref="F27:F43" si="17">(C27+D27+E27)/3</f>
      </c>
      <c r="G27" s="34"/>
      <c r="H27" s="2"/>
      <c r="I27" s="24"/>
      <c r="J27" s="139">
        <f t="shared" ref="J27:J39" si="18">(G27+H27+I27)/3</f>
      </c>
      <c r="K27" s="160">
        <f>(F27+J27)/2</f>
      </c>
      <c r="L27" s="34"/>
      <c r="M27" s="2"/>
      <c r="N27" s="24"/>
      <c r="O27" s="119">
        <f t="shared" ref="O27:O56" si="19">(L27+M27+N27)/3</f>
      </c>
      <c r="P27" s="34"/>
      <c r="Q27" s="2"/>
      <c r="R27" s="24"/>
      <c r="S27" s="139">
        <f t="shared" ref="S27:S56" si="20">(P27+Q27+R27)/3</f>
      </c>
      <c r="T27" s="178">
        <f t="shared" ref="T27:T56" si="21">(O27+S27)/2</f>
      </c>
      <c r="U27" s="197">
        <f t="shared" ref="U27:U56" si="22">(K27+T27)/2</f>
      </c>
    </row>
    <row r="28" spans="1:706">
      <c r="A28" s="4" t="s">
        <v>46</v>
      </c>
      <c r="B28" s="107"/>
      <c r="C28" s="2"/>
      <c r="D28" s="2"/>
      <c r="E28" s="24"/>
      <c r="F28" s="119">
        <f t="shared" si="17"/>
        <v>2.3333333333333335</v>
      </c>
      <c r="G28" s="34"/>
      <c r="H28" s="2"/>
      <c r="I28" s="24"/>
      <c r="J28" s="139">
        <f t="shared" si="18"/>
        <v>2.6666666666666665</v>
      </c>
      <c r="K28" s="160">
        <f t="shared" ref="K28:K56" si="23">(F28+J28)/2</f>
      </c>
      <c r="L28" s="34"/>
      <c r="M28" s="2"/>
      <c r="N28" s="24"/>
      <c r="O28" s="119">
        <f t="shared" si="19"/>
        <v>3.3333333333333335</v>
      </c>
      <c r="P28" s="34"/>
      <c r="Q28" s="2"/>
      <c r="R28" s="24"/>
      <c r="S28" s="139">
        <f t="shared" si="20"/>
        <v>0</v>
      </c>
      <c r="T28" s="178">
        <f t="shared" si="21"/>
        <v>1.6666666666666667</v>
      </c>
      <c r="U28" s="197">
        <f t="shared" si="22"/>
        <v>2.0833333333333335</v>
      </c>
    </row>
    <row r="29" spans="1:706">
      <c r="A29" s="4" t="s">
        <v>47</v>
      </c>
      <c r="B29" s="107"/>
      <c r="C29" s="2"/>
      <c r="D29" s="2"/>
      <c r="E29" s="24"/>
      <c r="F29" s="119">
        <f t="shared" si="17"/>
        <v>0</v>
      </c>
      <c r="G29" s="34"/>
      <c r="H29" s="2"/>
      <c r="I29" s="24"/>
      <c r="J29" s="139">
        <f t="shared" si="18"/>
        <v>0</v>
      </c>
      <c r="K29" s="160">
        <f t="shared" si="23"/>
        <v>0</v>
      </c>
      <c r="L29" s="34"/>
      <c r="M29" s="2"/>
      <c r="N29" s="24"/>
      <c r="O29" s="119">
        <f t="shared" si="19"/>
        <v>0</v>
      </c>
      <c r="P29" s="34"/>
      <c r="Q29" s="2"/>
      <c r="R29" s="24"/>
      <c r="S29" s="139">
        <f t="shared" si="20"/>
        <v>0</v>
      </c>
      <c r="T29" s="178">
        <f t="shared" si="21"/>
        <v>0</v>
      </c>
      <c r="U29" s="197">
        <f t="shared" si="22"/>
        <v>0</v>
      </c>
    </row>
    <row r="30" spans="1:706">
      <c r="A30" s="4" t="s">
        <v>48</v>
      </c>
      <c r="B30" s="107"/>
      <c r="C30" s="2">
        <f>C27+C28+C29</f>
      </c>
      <c r="D30" s="2">
        <f>D27+D28+D29</f>
      </c>
      <c r="E30" s="24"/>
      <c r="F30" s="119">
        <f t="shared" si="17"/>
        <v>4</v>
      </c>
      <c r="G30" s="34">
        <f t="shared" ref="G30:R30" si="24">G27+G28+G29</f>
      </c>
      <c r="H30" s="16">
        <f>I31</f>
      </c>
      <c r="I30" s="24">
        <f t="shared" si="24"/>
        <v>4</v>
      </c>
      <c r="J30" s="139">
        <f t="shared" si="18"/>
        <v>2.6666666666666665</v>
      </c>
      <c r="K30" s="160">
        <f t="shared" si="23"/>
        <v>3.333333333333333</v>
      </c>
      <c r="L30" s="34">
        <f t="shared" si="24"/>
        <v>1</v>
      </c>
      <c r="M30" s="2">
        <f t="shared" si="24"/>
        <v>0</v>
      </c>
      <c r="N30" s="24">
        <f t="shared" si="24"/>
        <v>10</v>
      </c>
      <c r="O30" s="119">
        <f t="shared" si="19"/>
        <v>3.6666666666666665</v>
      </c>
      <c r="P30" s="34">
        <f t="shared" si="24"/>
        <v>0</v>
      </c>
      <c r="Q30" s="2">
        <f t="shared" si="24"/>
        <v>0</v>
      </c>
      <c r="R30" s="24">
        <f t="shared" si="24"/>
        <v>0</v>
      </c>
      <c r="S30" s="139">
        <f t="shared" si="20"/>
        <v>0</v>
      </c>
      <c r="T30" s="178">
        <f t="shared" si="21"/>
        <v>1.8333333333333333</v>
      </c>
      <c r="U30" s="197">
        <f t="shared" si="22"/>
        <v>2.583333333333333</v>
      </c>
    </row>
    <row r="31" spans="1:706">
      <c r="A31" s="4" t="s">
        <v>49</v>
      </c>
      <c r="B31" s="107"/>
      <c r="C31" s="16">
        <f t="shared" ref="C31:R31" si="25">(C27+C28)/C30</f>
      </c>
      <c r="D31" s="16">
        <f t="shared" si="25"/>
        <v>1</v>
      </c>
      <c r="E31" s="31">
        <f t="shared" si="25"/>
        <v>1</v>
      </c>
      <c r="F31" s="122">
        <f t="shared" si="17"/>
        <v>1</v>
      </c>
      <c r="G31" s="41">
        <f t="shared" si="25"/>
        <v>1</v>
      </c>
      <c r="H31" s="16">
        <f t="shared" si="25"/>
        <v>5</v>
      </c>
      <c r="I31" s="31">
        <f t="shared" si="25"/>
        <v>1</v>
      </c>
      <c r="J31" s="142">
        <f t="shared" si="18"/>
        <v>2.3333333333333335</v>
      </c>
      <c r="K31" s="163">
        <f t="shared" si="23"/>
        <v>1.6666666666666667</v>
      </c>
      <c r="L31" s="41">
        <f t="shared" si="25"/>
        <v>1</v>
      </c>
      <c r="M31" s="16" t="e">
        <f t="shared" si="25"/>
        <v>#DIV/0!</v>
      </c>
      <c r="N31" s="31">
        <f t="shared" si="25"/>
        <v>1</v>
      </c>
      <c r="O31" s="122" t="e">
        <f t="shared" si="19"/>
        <v>#DIV/0!</v>
      </c>
      <c r="P31" s="41" t="e">
        <f t="shared" si="25"/>
        <v>#DIV/0!</v>
      </c>
      <c r="Q31" s="16" t="e">
        <f t="shared" si="25"/>
        <v>#DIV/0!</v>
      </c>
      <c r="R31" s="31" t="e">
        <f t="shared" si="25"/>
        <v>#DIV/0!</v>
      </c>
      <c r="S31" s="142" t="e">
        <f t="shared" si="20"/>
        <v>#DIV/0!</v>
      </c>
      <c r="T31" s="181" t="e">
        <f t="shared" si="21"/>
        <v>#DIV/0!</v>
      </c>
      <c r="U31" s="200" t="e">
        <f t="shared" si="22"/>
        <v>#DIV/0!</v>
      </c>
    </row>
    <row r="32" spans="1:706">
      <c r="A32" s="4" t="s">
        <v>50</v>
      </c>
      <c r="B32" s="107"/>
      <c r="C32" s="67">
        <f t="shared" ref="C32:R32" si="26">C30/C11</f>
      </c>
      <c r="D32" s="67">
        <f t="shared" si="26"/>
        <v>2</v>
      </c>
      <c r="E32" s="68">
        <f t="shared" si="26"/>
        <v>0.66666666666666663</v>
      </c>
      <c r="F32" s="123">
        <f t="shared" si="17"/>
        <v>1.3333333333333333</v>
      </c>
      <c r="G32" s="69">
        <f t="shared" si="26"/>
        <v>1.5</v>
      </c>
      <c r="H32" s="67"/>
      <c r="I32" s="68">
        <f t="shared" si="26"/>
        <v>1.3333333333333333</v>
      </c>
      <c r="J32" s="143">
        <f t="shared" si="18"/>
        <v>0.94444444444444431</v>
      </c>
      <c r="K32" s="164">
        <f t="shared" si="23"/>
        <v>1.1388888888888888</v>
      </c>
      <c r="L32" s="69">
        <f t="shared" si="26"/>
        <v>0.33333333333333331</v>
      </c>
      <c r="M32" s="67" t="e">
        <f t="shared" si="26"/>
        <v>#DIV/0!</v>
      </c>
      <c r="N32" s="68">
        <f t="shared" si="26"/>
        <v>5</v>
      </c>
      <c r="O32" s="123" t="e">
        <f t="shared" si="19"/>
        <v>#DIV/0!</v>
      </c>
      <c r="P32" s="69" t="e">
        <f t="shared" si="26"/>
        <v>#DIV/0!</v>
      </c>
      <c r="Q32" s="67" t="e">
        <f t="shared" si="26"/>
        <v>#DIV/0!</v>
      </c>
      <c r="R32" s="68" t="e">
        <f t="shared" si="26"/>
        <v>#DIV/0!</v>
      </c>
      <c r="S32" s="143" t="e">
        <f t="shared" si="20"/>
        <v>#DIV/0!</v>
      </c>
      <c r="T32" s="182" t="e">
        <f t="shared" si="21"/>
        <v>#DIV/0!</v>
      </c>
      <c r="U32" s="201" t="e">
        <f t="shared" si="22"/>
        <v>#DIV/0!</v>
      </c>
    </row>
    <row r="33" spans="1:21">
      <c r="A33" s="4" t="s">
        <v>51</v>
      </c>
      <c r="B33" s="107"/>
      <c r="C33" s="67">
        <f t="shared" ref="C33:R33" si="27">C11/C45</f>
      </c>
      <c r="D33" s="67">
        <f t="shared" si="27"/>
        <v>2</v>
      </c>
      <c r="E33" s="68" t="e">
        <f>E11/E46</f>
      </c>
      <c r="F33" s="123" t="e">
        <f t="shared" si="17"/>
        <v>#DIV/0!</v>
      </c>
      <c r="G33" s="69" t="e">
        <f t="shared" si="27"/>
        <v>#DIV/0!</v>
      </c>
      <c r="H33" s="67"/>
      <c r="I33" s="68">
        <f t="shared" si="27"/>
        <v>1.5</v>
      </c>
      <c r="J33" s="143" t="e">
        <f t="shared" si="18"/>
        <v>#DIV/0!</v>
      </c>
      <c r="K33" s="164" t="e">
        <f t="shared" si="23"/>
        <v>#DIV/0!</v>
      </c>
      <c r="L33" s="69" t="e">
        <f t="shared" si="27"/>
        <v>#DIV/0!</v>
      </c>
      <c r="M33" s="67" t="e">
        <f t="shared" si="27"/>
        <v>#DIV/0!</v>
      </c>
      <c r="N33" s="68" t="e">
        <f t="shared" si="27"/>
        <v>#DIV/0!</v>
      </c>
      <c r="O33" s="123" t="e">
        <f t="shared" si="19"/>
        <v>#DIV/0!</v>
      </c>
      <c r="P33" s="69" t="e">
        <f t="shared" si="27"/>
        <v>#DIV/0!</v>
      </c>
      <c r="Q33" s="67" t="e">
        <f t="shared" si="27"/>
        <v>#DIV/0!</v>
      </c>
      <c r="R33" s="68" t="e">
        <f t="shared" si="27"/>
        <v>#DIV/0!</v>
      </c>
      <c r="S33" s="143" t="e">
        <f t="shared" si="20"/>
        <v>#DIV/0!</v>
      </c>
      <c r="T33" s="182" t="e">
        <f t="shared" si="21"/>
        <v>#DIV/0!</v>
      </c>
      <c r="U33" s="201" t="e">
        <f t="shared" si="22"/>
        <v>#DIV/0!</v>
      </c>
    </row>
    <row r="34" spans="1:21">
      <c r="A34" s="4" t="s">
        <v>52</v>
      </c>
      <c r="B34" s="107"/>
      <c r="C34" s="67">
        <f t="shared" ref="C34:R34" si="28">C11/C46</f>
      </c>
      <c r="D34" s="67">
        <f t="shared" si="28"/>
        <v>2</v>
      </c>
      <c r="E34" s="68" t="e">
        <f>E11/#REF!</f>
      </c>
      <c r="F34" s="123" t="e">
        <f t="shared" si="17"/>
        <v>#REF!</v>
      </c>
      <c r="G34" s="69">
        <f t="shared" si="28"/>
        <v>1</v>
      </c>
      <c r="H34" s="67" t="e">
        <f t="shared" si="28"/>
        <v>#DIV/0!</v>
      </c>
      <c r="I34" s="68">
        <f t="shared" si="28"/>
        <v>3</v>
      </c>
      <c r="J34" s="143" t="e">
        <f t="shared" si="18"/>
        <v>#DIV/0!</v>
      </c>
      <c r="K34" s="164" t="e">
        <f t="shared" si="23"/>
        <v>#REF!</v>
      </c>
      <c r="L34" s="69" t="e">
        <f t="shared" si="28"/>
        <v>#DIV/0!</v>
      </c>
      <c r="M34" s="67" t="e">
        <f t="shared" si="28"/>
        <v>#DIV/0!</v>
      </c>
      <c r="N34" s="68" t="e">
        <f t="shared" si="28"/>
        <v>#DIV/0!</v>
      </c>
      <c r="O34" s="123" t="e">
        <f t="shared" si="19"/>
        <v>#DIV/0!</v>
      </c>
      <c r="P34" s="69" t="e">
        <f t="shared" si="28"/>
        <v>#DIV/0!</v>
      </c>
      <c r="Q34" s="67" t="e">
        <f t="shared" si="28"/>
        <v>#DIV/0!</v>
      </c>
      <c r="R34" s="68" t="e">
        <f t="shared" si="28"/>
        <v>#DIV/0!</v>
      </c>
      <c r="S34" s="143" t="e">
        <f t="shared" si="20"/>
        <v>#DIV/0!</v>
      </c>
      <c r="T34" s="182" t="e">
        <f t="shared" si="21"/>
        <v>#DIV/0!</v>
      </c>
      <c r="U34" s="201" t="e">
        <f t="shared" si="22"/>
        <v>#REF!</v>
      </c>
    </row>
    <row r="35" spans="1:21">
      <c r="A35" s="17" t="s">
        <v>53</v>
      </c>
      <c r="B35" s="104"/>
      <c r="C35" s="70" t="e">
        <f t="shared" ref="C35:R35" si="29">C11/C47</f>
      </c>
      <c r="D35" s="70" t="e">
        <f t="shared" si="29"/>
        <v>#DIV/0!</v>
      </c>
      <c r="E35" s="71" t="e">
        <f t="shared" si="29"/>
        <v>#DIV/0!</v>
      </c>
      <c r="F35" s="123" t="e">
        <f t="shared" si="17"/>
        <v>#DIV/0!</v>
      </c>
      <c r="G35" s="72" t="e">
        <f t="shared" si="29"/>
        <v>#DIV/0!</v>
      </c>
      <c r="H35" s="70" t="e">
        <f t="shared" si="29"/>
        <v>#DIV/0!</v>
      </c>
      <c r="I35" s="71" t="e">
        <f t="shared" si="29"/>
        <v>#DIV/0!</v>
      </c>
      <c r="J35" s="143" t="e">
        <f t="shared" si="18"/>
        <v>#DIV/0!</v>
      </c>
      <c r="K35" s="164" t="e">
        <f t="shared" si="23"/>
        <v>#DIV/0!</v>
      </c>
      <c r="L35" s="72" t="e">
        <f t="shared" si="29"/>
        <v>#DIV/0!</v>
      </c>
      <c r="M35" s="70" t="e">
        <f t="shared" si="29"/>
        <v>#DIV/0!</v>
      </c>
      <c r="N35" s="71" t="e">
        <f t="shared" si="29"/>
        <v>#DIV/0!</v>
      </c>
      <c r="O35" s="123" t="e">
        <f t="shared" si="19"/>
        <v>#DIV/0!</v>
      </c>
      <c r="P35" s="72" t="e">
        <f t="shared" si="29"/>
        <v>#DIV/0!</v>
      </c>
      <c r="Q35" s="70" t="e">
        <f t="shared" si="29"/>
        <v>#DIV/0!</v>
      </c>
      <c r="R35" s="71" t="e">
        <f t="shared" si="29"/>
        <v>#DIV/0!</v>
      </c>
      <c r="S35" s="143" t="e">
        <f t="shared" si="20"/>
        <v>#DIV/0!</v>
      </c>
      <c r="T35" s="182" t="e">
        <f t="shared" si="21"/>
        <v>#DIV/0!</v>
      </c>
      <c r="U35" s="201" t="e">
        <f t="shared" si="22"/>
        <v>#DIV/0!</v>
      </c>
    </row>
    <row r="36" spans="1:21">
      <c r="A36" s="56"/>
      <c r="B36" s="59"/>
      <c r="C36" s="57"/>
      <c r="D36" s="57"/>
      <c r="E36" s="58"/>
      <c r="F36" s="124"/>
      <c r="G36" s="59"/>
      <c r="H36" s="57"/>
      <c r="I36" s="58"/>
      <c r="J36" s="144"/>
      <c r="K36" s="165"/>
      <c r="L36" s="59"/>
      <c r="M36" s="57"/>
      <c r="N36" s="58"/>
      <c r="O36" s="124"/>
      <c r="P36" s="59"/>
      <c r="Q36" s="57"/>
      <c r="R36" s="58"/>
      <c r="S36" s="144"/>
      <c r="T36" s="61"/>
      <c r="U36" s="165"/>
    </row>
    <row r="37" spans="1:21">
      <c r="A37" s="8" t="s">
        <v>54</v>
      </c>
      <c r="B37" s="108"/>
      <c r="C37" s="45"/>
      <c r="D37" s="45"/>
      <c r="E37" s="46"/>
      <c r="F37" s="125">
        <f t="shared" si="17"/>
        <v>0.33333333333333331</v>
      </c>
      <c r="G37" s="47"/>
      <c r="H37" s="45"/>
      <c r="I37" s="46"/>
      <c r="J37" s="145">
        <f t="shared" si="18"/>
        <v>0</v>
      </c>
      <c r="K37" s="166">
        <f t="shared" si="23"/>
        <v>0.16666666666666666</v>
      </c>
      <c r="L37" s="47"/>
      <c r="M37" s="45"/>
      <c r="N37" s="46"/>
      <c r="O37" s="125">
        <f t="shared" si="19"/>
        <v>0</v>
      </c>
      <c r="P37" s="47"/>
      <c r="Q37" s="45"/>
      <c r="R37" s="46"/>
      <c r="S37" s="145">
        <f t="shared" si="20"/>
        <v>0</v>
      </c>
      <c r="T37" s="183">
        <f t="shared" si="21"/>
        <v>0</v>
      </c>
      <c r="U37" s="202">
        <f t="shared" si="22"/>
        <v>8.3333333333333329E-2</v>
      </c>
    </row>
    <row r="38" spans="1:21">
      <c r="A38" s="4" t="s">
        <v>55</v>
      </c>
      <c r="B38" s="107"/>
      <c r="C38" s="2"/>
      <c r="D38" s="2"/>
      <c r="E38" s="24"/>
      <c r="F38" s="119">
        <f t="shared" si="17"/>
        <v>0</v>
      </c>
      <c r="G38" s="34"/>
      <c r="H38" s="2"/>
      <c r="I38" s="24"/>
      <c r="J38" s="139">
        <f t="shared" si="18"/>
        <v>0</v>
      </c>
      <c r="K38" s="160">
        <f t="shared" si="23"/>
        <v>0</v>
      </c>
      <c r="L38" s="34"/>
      <c r="M38" s="2"/>
      <c r="N38" s="24"/>
      <c r="O38" s="119">
        <f t="shared" si="19"/>
        <v>0</v>
      </c>
      <c r="P38" s="34"/>
      <c r="Q38" s="2"/>
      <c r="R38" s="24"/>
      <c r="S38" s="139">
        <f t="shared" si="20"/>
        <v>0</v>
      </c>
      <c r="T38" s="178">
        <f t="shared" si="21"/>
        <v>0</v>
      </c>
      <c r="U38" s="197">
        <f t="shared" si="22"/>
        <v>0</v>
      </c>
    </row>
    <row r="39" spans="1:21">
      <c r="A39" s="17" t="s">
        <v>56</v>
      </c>
      <c r="B39" s="104"/>
      <c r="C39" s="18">
        <f>C37+C38</f>
      </c>
      <c r="D39" s="18">
        <f>D37+D38</f>
      </c>
      <c r="E39" s="26"/>
      <c r="F39" s="119">
        <f t="shared" si="17"/>
        <v>0.33333333333333331</v>
      </c>
      <c r="G39" s="36">
        <f t="shared" ref="G39:R39" si="30">G37+G38</f>
      </c>
      <c r="H39" s="18">
        <f t="shared" si="30"/>
        <v>0</v>
      </c>
      <c r="I39" s="26">
        <f t="shared" si="30"/>
        <v>0</v>
      </c>
      <c r="J39" s="139">
        <f t="shared" si="18"/>
        <v>0</v>
      </c>
      <c r="K39" s="160">
        <f t="shared" si="23"/>
        <v>0.16666666666666666</v>
      </c>
      <c r="L39" s="36">
        <f t="shared" si="30"/>
        <v>0</v>
      </c>
      <c r="M39" s="18">
        <f t="shared" si="30"/>
        <v>0</v>
      </c>
      <c r="N39" s="26">
        <f t="shared" si="30"/>
        <v>0</v>
      </c>
      <c r="O39" s="119">
        <f t="shared" si="19"/>
        <v>0</v>
      </c>
      <c r="P39" s="36">
        <f t="shared" si="30"/>
        <v>0</v>
      </c>
      <c r="Q39" s="18">
        <f t="shared" si="30"/>
        <v>0</v>
      </c>
      <c r="R39" s="26">
        <f t="shared" si="30"/>
        <v>0</v>
      </c>
      <c r="S39" s="139">
        <f t="shared" si="20"/>
        <v>0</v>
      </c>
      <c r="T39" s="178">
        <f t="shared" si="21"/>
        <v>0</v>
      </c>
      <c r="U39" s="197">
        <f t="shared" si="22"/>
        <v>8.3333333333333329E-2</v>
      </c>
    </row>
    <row r="40" spans="1:21">
      <c r="A40" s="56"/>
      <c r="B40" s="59"/>
      <c r="C40" s="57"/>
      <c r="D40" s="57"/>
      <c r="E40" s="58"/>
      <c r="F40" s="124"/>
      <c r="G40" s="59"/>
      <c r="H40" s="57"/>
      <c r="I40" s="58"/>
      <c r="J40" s="144"/>
      <c r="K40" s="165"/>
      <c r="L40" s="59"/>
      <c r="M40" s="57"/>
      <c r="N40" s="58"/>
      <c r="O40" s="124"/>
      <c r="P40" s="59"/>
      <c r="Q40" s="57"/>
      <c r="R40" s="58"/>
      <c r="S40" s="144"/>
      <c r="T40" s="61"/>
      <c r="U40" s="165"/>
    </row>
    <row r="41" spans="1:21">
      <c r="A41" s="8" t="s">
        <v>57</v>
      </c>
      <c r="B41" s="108"/>
      <c r="C41" s="45"/>
      <c r="D41" s="45"/>
      <c r="E41" s="46"/>
      <c r="F41" s="125">
        <f t="shared" si="17"/>
        <v>0</v>
      </c>
      <c r="G41" s="47"/>
      <c r="H41" s="45"/>
      <c r="I41" s="46"/>
      <c r="J41" s="145">
        <f>(G41+H41+I41)/3</f>
      </c>
      <c r="K41" s="166">
        <f t="shared" si="23"/>
        <v>0</v>
      </c>
      <c r="L41" s="47"/>
      <c r="M41" s="45"/>
      <c r="N41" s="46"/>
      <c r="O41" s="125">
        <f t="shared" si="19"/>
        <v>0</v>
      </c>
      <c r="P41" s="47"/>
      <c r="Q41" s="45"/>
      <c r="R41" s="46"/>
      <c r="S41" s="145">
        <f t="shared" si="20"/>
        <v>0</v>
      </c>
      <c r="T41" s="183">
        <f t="shared" si="21"/>
        <v>0</v>
      </c>
      <c r="U41" s="202">
        <f t="shared" si="22"/>
        <v>0</v>
      </c>
    </row>
    <row r="42" spans="1:21">
      <c r="A42" s="4" t="s">
        <v>58</v>
      </c>
      <c r="B42" s="107"/>
      <c r="C42" s="2"/>
      <c r="D42" s="2"/>
      <c r="E42" s="24"/>
      <c r="F42" s="119">
        <f t="shared" si="17"/>
        <v>0</v>
      </c>
      <c r="G42" s="34"/>
      <c r="H42" s="2"/>
      <c r="I42" s="24"/>
      <c r="J42" s="139">
        <f t="shared" ref="J42:J56" si="31">(G42+H42+I42)/3</f>
      </c>
      <c r="K42" s="160">
        <f t="shared" si="23"/>
        <v>0</v>
      </c>
      <c r="L42" s="34"/>
      <c r="M42" s="2"/>
      <c r="N42" s="24"/>
      <c r="O42" s="119">
        <f t="shared" si="19"/>
        <v>0</v>
      </c>
      <c r="P42" s="34"/>
      <c r="Q42" s="2"/>
      <c r="R42" s="24"/>
      <c r="S42" s="139">
        <f t="shared" si="20"/>
        <v>0</v>
      </c>
      <c r="T42" s="178">
        <f t="shared" si="21"/>
        <v>0</v>
      </c>
      <c r="U42" s="197">
        <f t="shared" si="22"/>
        <v>0</v>
      </c>
    </row>
    <row r="43" spans="1:21">
      <c r="A43" s="17" t="s">
        <v>59</v>
      </c>
      <c r="B43" s="104"/>
      <c r="C43" s="42" t="e">
        <f>C42/C41</f>
      </c>
      <c r="D43" s="42" t="e">
        <f>D42/D41</f>
      </c>
      <c r="E43" s="43" t="e">
        <f t="shared" ref="E43:R43" si="32">E42/E41</f>
      </c>
      <c r="F43" s="122" t="e">
        <f t="shared" si="17"/>
        <v>#DIV/0!</v>
      </c>
      <c r="G43" s="44" t="e">
        <f t="shared" si="32"/>
        <v>#DIV/0!</v>
      </c>
      <c r="H43" s="42"/>
      <c r="I43" s="43" t="e">
        <f t="shared" si="32"/>
        <v>#DIV/0!</v>
      </c>
      <c r="J43" s="142" t="e">
        <f t="shared" si="31"/>
        <v>#DIV/0!</v>
      </c>
      <c r="K43" s="163" t="e">
        <f t="shared" si="23"/>
        <v>#DIV/0!</v>
      </c>
      <c r="L43" s="44" t="e">
        <f t="shared" si="32"/>
        <v>#DIV/0!</v>
      </c>
      <c r="M43" s="42" t="e">
        <f t="shared" si="32"/>
        <v>#DIV/0!</v>
      </c>
      <c r="N43" s="43" t="e">
        <f t="shared" si="32"/>
        <v>#DIV/0!</v>
      </c>
      <c r="O43" s="122" t="e">
        <f t="shared" si="19"/>
        <v>#DIV/0!</v>
      </c>
      <c r="P43" s="44" t="e">
        <f t="shared" si="32"/>
        <v>#DIV/0!</v>
      </c>
      <c r="Q43" s="42" t="e">
        <f t="shared" si="32"/>
        <v>#DIV/0!</v>
      </c>
      <c r="R43" s="43" t="e">
        <f t="shared" si="32"/>
        <v>#DIV/0!</v>
      </c>
      <c r="S43" s="142" t="e">
        <f t="shared" si="20"/>
        <v>#DIV/0!</v>
      </c>
      <c r="T43" s="181" t="e">
        <f t="shared" si="21"/>
        <v>#DIV/0!</v>
      </c>
      <c r="U43" s="200" t="e">
        <f t="shared" si="22"/>
        <v>#DIV/0!</v>
      </c>
    </row>
    <row r="44" spans="1:21" ht="15" thickBot="1">
      <c r="A44" s="56"/>
      <c r="B44" s="59"/>
      <c r="C44" s="57"/>
      <c r="D44" s="57"/>
      <c r="E44" s="58"/>
      <c r="F44" s="124"/>
      <c r="G44" s="59"/>
      <c r="H44" s="57"/>
      <c r="I44" s="58"/>
      <c r="J44" s="144"/>
      <c r="K44" s="165"/>
      <c r="L44" s="59"/>
      <c r="M44" s="57"/>
      <c r="N44" s="58"/>
      <c r="O44" s="124"/>
      <c r="P44" s="59"/>
      <c r="Q44" s="57"/>
      <c r="R44" s="58"/>
      <c r="S44" s="144"/>
      <c r="T44" s="61"/>
      <c r="U44" s="165"/>
    </row>
    <row r="45" spans="1:21">
      <c r="A45" s="8" t="s">
        <v>60</v>
      </c>
      <c r="B45" s="108"/>
      <c r="C45" s="45"/>
      <c r="D45" s="45"/>
      <c r="E45"/>
      <c r="F45" s="125">
        <f>(C45+D45+E46)/3</f>
      </c>
      <c r="G45" s="47"/>
      <c r="H45" s="45"/>
      <c r="I45" s="46"/>
      <c r="J45" s="145">
        <f t="shared" si="31"/>
        <v>0.66666666666666663</v>
      </c>
      <c r="K45" s="166">
        <f t="shared" si="23"/>
        <v>0.83333333333333326</v>
      </c>
      <c r="L45" s="47"/>
      <c r="M45" s="45"/>
      <c r="N45" s="46"/>
      <c r="O45" s="125">
        <f t="shared" si="19"/>
        <v>0</v>
      </c>
      <c r="P45" s="47"/>
      <c r="Q45" s="45"/>
      <c r="R45" s="46"/>
      <c r="S45" s="145">
        <f t="shared" si="20"/>
        <v>0</v>
      </c>
      <c r="T45" s="183">
        <f t="shared" si="21"/>
        <v>0</v>
      </c>
      <c r="U45" s="202">
        <f t="shared" si="22"/>
        <v>0.41666666666666663</v>
      </c>
    </row>
    <row r="46" spans="1:21">
      <c r="A46" s="4" t="s">
        <v>61</v>
      </c>
      <c r="B46" s="107"/>
      <c r="C46" s="2"/>
      <c r="D46" s="2"/>
      <c r="E46" s="46"/>
      <c r="F46" s="119" t="e">
        <f>(C46+D46+#REF!)/3</f>
      </c>
      <c r="G46" s="34"/>
      <c r="H46" s="2"/>
      <c r="I46" s="24"/>
      <c r="J46" s="139">
        <f t="shared" si="31"/>
        <v>1</v>
      </c>
      <c r="K46" s="160" t="e">
        <f t="shared" si="23"/>
        <v>#REF!</v>
      </c>
      <c r="L46" s="34"/>
      <c r="M46" s="2"/>
      <c r="N46" s="24"/>
      <c r="O46" s="119">
        <f t="shared" si="19"/>
        <v>0</v>
      </c>
      <c r="P46" s="34"/>
      <c r="Q46" s="2"/>
      <c r="R46" s="24"/>
      <c r="S46" s="139">
        <f t="shared" si="20"/>
        <v>0</v>
      </c>
      <c r="T46" s="178">
        <f t="shared" si="21"/>
        <v>0</v>
      </c>
      <c r="U46" s="197" t="e">
        <f t="shared" si="22"/>
        <v>#REF!</v>
      </c>
    </row>
    <row r="47" spans="1:21" ht="15" thickBot="1">
      <c r="A47" s="17" t="s">
        <v>62</v>
      </c>
      <c r="B47" s="104"/>
      <c r="C47" s="18"/>
      <c r="D47" s="18"/>
      <c r="E47" s="26"/>
      <c r="F47" s="119">
        <f t="shared" ref="F47:F56" si="33">(C47+D47+E47)/3</f>
      </c>
      <c r="G47" s="36"/>
      <c r="H47" s="18"/>
      <c r="I47" s="26"/>
      <c r="J47" s="139">
        <f t="shared" si="31"/>
        <v>0</v>
      </c>
      <c r="K47" s="160">
        <f t="shared" si="23"/>
        <v>0</v>
      </c>
      <c r="L47" s="36"/>
      <c r="M47" s="18"/>
      <c r="N47" s="26"/>
      <c r="O47" s="119">
        <f t="shared" si="19"/>
        <v>0</v>
      </c>
      <c r="P47" s="36"/>
      <c r="Q47" s="18"/>
      <c r="R47" s="26"/>
      <c r="S47" s="139">
        <f t="shared" si="20"/>
        <v>0</v>
      </c>
      <c r="T47" s="178">
        <f t="shared" si="21"/>
        <v>0</v>
      </c>
      <c r="U47" s="197">
        <f t="shared" si="22"/>
        <v>0</v>
      </c>
    </row>
    <row r="48" spans="1:21">
      <c r="A48" s="56"/>
      <c r="B48" s="59"/>
      <c r="C48" s="57"/>
      <c r="D48" s="57"/>
      <c r="E48" s="58"/>
      <c r="F48" s="124"/>
      <c r="G48" s="59"/>
      <c r="H48" s="57"/>
      <c r="I48" s="58"/>
      <c r="J48" s="144"/>
      <c r="K48" s="165"/>
      <c r="L48" s="59"/>
      <c r="M48" s="57"/>
      <c r="N48" s="58"/>
      <c r="O48" s="124"/>
      <c r="P48" s="59"/>
      <c r="Q48" s="57"/>
      <c r="R48" s="58"/>
      <c r="S48" s="144"/>
      <c r="T48" s="61"/>
      <c r="U48" s="165"/>
    </row>
    <row r="49" spans="1:706">
      <c r="A49" s="8" t="s">
        <v>63</v>
      </c>
      <c r="B49" s="108"/>
      <c r="C49" s="48">
        <f t="shared" ref="C49:R49" si="34">C45/C11</f>
      </c>
      <c r="D49" s="48">
        <f t="shared" si="34"/>
        <v>0.5</v>
      </c>
      <c r="E49" s="49">
        <f>E46/E11</f>
      </c>
      <c r="F49" s="126">
        <f t="shared" si="33"/>
        <v>0.38888888888888884</v>
      </c>
      <c r="G49" s="50">
        <f t="shared" si="34"/>
        <v>0</v>
      </c>
      <c r="H49" s="48"/>
      <c r="I49" s="49">
        <f t="shared" si="34"/>
        <v>0.66666666666666663</v>
      </c>
      <c r="J49" s="146">
        <f t="shared" si="31"/>
        <v>0.22222222222222221</v>
      </c>
      <c r="K49" s="167">
        <f t="shared" si="23"/>
        <v>0.30555555555555552</v>
      </c>
      <c r="L49" s="50">
        <f t="shared" si="34"/>
        <v>0</v>
      </c>
      <c r="M49" s="48" t="e">
        <f t="shared" si="34"/>
        <v>#DIV/0!</v>
      </c>
      <c r="N49" s="49">
        <f t="shared" si="34"/>
        <v>0</v>
      </c>
      <c r="O49" s="126" t="e">
        <f t="shared" si="19"/>
        <v>#DIV/0!</v>
      </c>
      <c r="P49" s="50" t="e">
        <f t="shared" si="34"/>
        <v>#DIV/0!</v>
      </c>
      <c r="Q49" s="48" t="e">
        <f t="shared" si="34"/>
        <v>#DIV/0!</v>
      </c>
      <c r="R49" s="49" t="e">
        <f t="shared" si="34"/>
        <v>#DIV/0!</v>
      </c>
      <c r="S49" s="146" t="e">
        <f t="shared" si="20"/>
        <v>#DIV/0!</v>
      </c>
      <c r="T49" s="184" t="e">
        <f t="shared" si="21"/>
        <v>#DIV/0!</v>
      </c>
      <c r="U49" s="203" t="e">
        <f t="shared" si="22"/>
        <v>#DIV/0!</v>
      </c>
    </row>
    <row r="50" spans="1:706">
      <c r="A50" s="4" t="s">
        <v>64</v>
      </c>
      <c r="B50" s="107"/>
      <c r="C50" s="16">
        <f t="shared" ref="C50:R50" si="35">C46/C11</f>
      </c>
      <c r="D50" s="16">
        <f t="shared" si="35"/>
        <v>0.5</v>
      </c>
      <c r="E50" s="31" t="e">
        <f>#REF!/E11</f>
      </c>
      <c r="F50" s="122" t="e">
        <f t="shared" si="33"/>
        <v>#REF!</v>
      </c>
      <c r="G50" s="41">
        <f t="shared" si="35"/>
        <v>1</v>
      </c>
      <c r="H50" s="16"/>
      <c r="I50" s="31">
        <f t="shared" si="35"/>
        <v>0.33333333333333331</v>
      </c>
      <c r="J50" s="142">
        <f t="shared" si="31"/>
        <v>0.44444444444444442</v>
      </c>
      <c r="K50" s="163" t="e">
        <f t="shared" si="23"/>
        <v>#REF!</v>
      </c>
      <c r="L50" s="41">
        <f t="shared" si="35"/>
        <v>0</v>
      </c>
      <c r="M50" s="16" t="e">
        <f t="shared" si="35"/>
        <v>#DIV/0!</v>
      </c>
      <c r="N50" s="31">
        <f t="shared" si="35"/>
        <v>0</v>
      </c>
      <c r="O50" s="122" t="e">
        <f t="shared" si="19"/>
        <v>#DIV/0!</v>
      </c>
      <c r="P50" s="41" t="e">
        <f t="shared" si="35"/>
        <v>#DIV/0!</v>
      </c>
      <c r="Q50" s="16" t="e">
        <f t="shared" si="35"/>
        <v>#DIV/0!</v>
      </c>
      <c r="R50" s="31" t="e">
        <f t="shared" si="35"/>
        <v>#DIV/0!</v>
      </c>
      <c r="S50" s="142" t="e">
        <f t="shared" si="20"/>
        <v>#DIV/0!</v>
      </c>
      <c r="T50" s="181" t="e">
        <f t="shared" si="21"/>
        <v>#DIV/0!</v>
      </c>
      <c r="U50" s="200" t="e">
        <f t="shared" si="22"/>
        <v>#REF!</v>
      </c>
    </row>
    <row r="51" spans="1:706">
      <c r="A51" s="17" t="s">
        <v>65</v>
      </c>
      <c r="B51" s="104"/>
      <c r="C51" s="42">
        <f t="shared" ref="C51:R51" si="36">C47/C11</f>
      </c>
      <c r="D51" s="42">
        <f t="shared" si="36"/>
        <v>0</v>
      </c>
      <c r="E51" s="43">
        <f t="shared" si="36"/>
        <v>0</v>
      </c>
      <c r="F51" s="122">
        <f t="shared" si="33"/>
        <v>0</v>
      </c>
      <c r="G51" s="44">
        <f t="shared" si="36"/>
        <v>0</v>
      </c>
      <c r="H51" s="42"/>
      <c r="I51" s="43">
        <f t="shared" si="36"/>
        <v>0</v>
      </c>
      <c r="J51" s="142">
        <f t="shared" si="31"/>
        <v>0</v>
      </c>
      <c r="K51" s="163">
        <f t="shared" si="23"/>
        <v>0</v>
      </c>
      <c r="L51" s="44">
        <f t="shared" si="36"/>
        <v>0</v>
      </c>
      <c r="M51" s="42" t="e">
        <f t="shared" si="36"/>
        <v>#DIV/0!</v>
      </c>
      <c r="N51" s="43">
        <f t="shared" si="36"/>
        <v>0</v>
      </c>
      <c r="O51" s="122" t="e">
        <f t="shared" si="19"/>
        <v>#DIV/0!</v>
      </c>
      <c r="P51" s="44" t="e">
        <f t="shared" si="36"/>
        <v>#DIV/0!</v>
      </c>
      <c r="Q51" s="42" t="e">
        <f t="shared" si="36"/>
        <v>#DIV/0!</v>
      </c>
      <c r="R51" s="43" t="e">
        <f t="shared" si="36"/>
        <v>#DIV/0!</v>
      </c>
      <c r="S51" s="142" t="e">
        <f t="shared" si="20"/>
        <v>#DIV/0!</v>
      </c>
      <c r="T51" s="181" t="e">
        <f t="shared" si="21"/>
        <v>#DIV/0!</v>
      </c>
      <c r="U51" s="200" t="e">
        <f t="shared" si="22"/>
        <v>#DIV/0!</v>
      </c>
    </row>
    <row r="52" spans="1:706" ht="15" thickBot="1">
      <c r="A52" s="56"/>
      <c r="B52" s="59"/>
      <c r="C52" s="57"/>
      <c r="D52" s="57"/>
      <c r="E52" s="58"/>
      <c r="F52" s="124"/>
      <c r="G52" s="59"/>
      <c r="H52" s="57"/>
      <c r="I52" s="58"/>
      <c r="J52" s="144"/>
      <c r="K52" s="165"/>
      <c r="L52" s="59"/>
      <c r="M52" s="57"/>
      <c r="N52" s="58"/>
      <c r="O52" s="124"/>
      <c r="P52" s="59"/>
      <c r="Q52" s="57"/>
      <c r="R52" s="58"/>
      <c r="S52" s="144"/>
      <c r="T52" s="61"/>
      <c r="U52" s="165"/>
    </row>
    <row r="53" spans="1:706">
      <c r="A53" s="8" t="s">
        <v>66</v>
      </c>
      <c r="B53" s="108"/>
      <c r="C53" s="45"/>
      <c r="D53" s="45"/>
      <c r="E53" s="46"/>
      <c r="F53" s="125">
        <f t="shared" si="33"/>
        <v>1.6666666666666667</v>
      </c>
      <c r="G53" s="47"/>
      <c r="H53" s="208"/>
      <c r="I53" s="46"/>
      <c r="J53" s="145">
        <f>(G53+H54+I53)/3</f>
      </c>
      <c r="K53" s="166">
        <f t="shared" si="23"/>
        <v>1.8333333333333335</v>
      </c>
      <c r="L53" s="47"/>
      <c r="M53" s="45"/>
      <c r="N53" s="46"/>
      <c r="O53" s="125">
        <f t="shared" si="19"/>
        <v>0</v>
      </c>
      <c r="P53" s="47"/>
      <c r="Q53" s="45"/>
      <c r="R53" s="46"/>
      <c r="S53" s="145">
        <f t="shared" si="20"/>
        <v>0</v>
      </c>
      <c r="T53" s="183">
        <f t="shared" si="21"/>
        <v>0</v>
      </c>
      <c r="U53" s="202">
        <f t="shared" si="22"/>
        <v>0.91666666666666674</v>
      </c>
    </row>
    <row r="54" spans="1:706">
      <c r="A54" s="4" t="s">
        <v>67</v>
      </c>
      <c r="B54" s="107"/>
      <c r="C54" s="2"/>
      <c r="D54" s="2"/>
      <c r="E54" s="24"/>
      <c r="F54" s="119">
        <f t="shared" si="33"/>
        <v>1</v>
      </c>
      <c r="G54" s="34"/>
      <c r="H54" s="45"/>
      <c r="I54" s="24"/>
      <c r="J54" s="139" t="e">
        <f>(G54+#REF!+I54)/3</f>
      </c>
      <c r="K54" s="160" t="e">
        <f t="shared" si="23"/>
        <v>#REF!</v>
      </c>
      <c r="L54" s="34"/>
      <c r="M54" s="2"/>
      <c r="N54" s="24"/>
      <c r="O54" s="119">
        <f t="shared" si="19"/>
        <v>0</v>
      </c>
      <c r="P54" s="34"/>
      <c r="Q54" s="2"/>
      <c r="R54" s="24"/>
      <c r="S54" s="139">
        <f t="shared" si="20"/>
        <v>0</v>
      </c>
      <c r="T54" s="178">
        <f t="shared" si="21"/>
        <v>0</v>
      </c>
      <c r="U54" s="197" t="e">
        <f t="shared" si="22"/>
        <v>#REF!</v>
      </c>
    </row>
    <row r="55" spans="1:706">
      <c r="A55" s="4" t="s">
        <v>68</v>
      </c>
      <c r="B55" s="107"/>
      <c r="C55" s="2"/>
      <c r="D55" s="2"/>
      <c r="E55" s="24"/>
      <c r="F55" s="119">
        <f t="shared" si="33"/>
        <v>0</v>
      </c>
      <c r="G55" s="34"/>
      <c r="H55" s="2"/>
      <c r="I55" s="24"/>
      <c r="J55" s="139">
        <f t="shared" si="31"/>
        <v>0</v>
      </c>
      <c r="K55" s="160">
        <f t="shared" si="23"/>
        <v>0</v>
      </c>
      <c r="L55" s="34"/>
      <c r="M55" s="2"/>
      <c r="N55" s="24"/>
      <c r="O55" s="119">
        <f t="shared" si="19"/>
        <v>0</v>
      </c>
      <c r="P55" s="34"/>
      <c r="Q55" s="2"/>
      <c r="R55" s="24"/>
      <c r="S55" s="139">
        <f t="shared" si="20"/>
        <v>0</v>
      </c>
      <c r="T55" s="178">
        <f t="shared" si="21"/>
        <v>0</v>
      </c>
      <c r="U55" s="197">
        <f t="shared" si="22"/>
        <v>0</v>
      </c>
    </row>
    <row r="56" spans="1:706">
      <c r="A56" s="17" t="s">
        <v>69</v>
      </c>
      <c r="B56" s="104"/>
      <c r="C56" s="18">
        <f>C53+C54+C55</f>
      </c>
      <c r="D56" s="18">
        <f t="shared" ref="D56:G56" si="37">D53+D54+D55</f>
      </c>
      <c r="E56" s="26">
        <f t="shared" si="37"/>
        <v>4</v>
      </c>
      <c r="F56" s="119">
        <f t="shared" si="33"/>
        <v>2.6666666666666665</v>
      </c>
      <c r="G56" s="36">
        <f t="shared" si="37"/>
        <v>1</v>
      </c>
      <c r="H56" s="18" t="e">
        <f>H54+#REF!+H55</f>
      </c>
      <c r="I56" s="26">
        <f t="shared" ref="I56" si="38">I53+I54+I55</f>
      </c>
      <c r="J56" s="139" t="e">
        <f t="shared" si="31"/>
        <v>#REF!</v>
      </c>
      <c r="K56" s="160" t="e">
        <f t="shared" si="23"/>
        <v>#REF!</v>
      </c>
      <c r="L56" s="36">
        <f t="shared" ref="L56" si="39">L53+L54+L55</f>
      </c>
      <c r="M56" s="18">
        <f t="shared" ref="M56" si="40">M53+M54+M55</f>
      </c>
      <c r="N56" s="26">
        <f t="shared" ref="N56:P56" si="41">N53+N54+N55</f>
      </c>
      <c r="O56" s="119">
        <f t="shared" si="19"/>
        <v>0</v>
      </c>
      <c r="P56" s="36">
        <f t="shared" si="41"/>
        <v>0</v>
      </c>
      <c r="Q56" s="18">
        <f t="shared" ref="Q56" si="42">Q53+Q54+Q55</f>
      </c>
      <c r="R56" s="26">
        <f t="shared" ref="R56" si="43">R53+R54+R55</f>
      </c>
      <c r="S56" s="139">
        <f t="shared" si="20"/>
        <v>0</v>
      </c>
      <c r="T56" s="178">
        <f t="shared" si="21"/>
        <v>0</v>
      </c>
      <c r="U56" s="197" t="e">
        <f t="shared" si="22"/>
        <v>#REF!</v>
      </c>
    </row>
    <row r="57" spans="1:706">
      <c r="A57" s="60"/>
      <c r="B57" s="61"/>
      <c r="C57" s="61"/>
      <c r="D57" s="61"/>
      <c r="E57" s="61"/>
      <c r="F57" s="124"/>
      <c r="G57" s="61"/>
      <c r="H57" s="61"/>
      <c r="I57" s="61"/>
      <c r="J57" s="144"/>
      <c r="K57" s="165"/>
      <c r="L57" s="61"/>
      <c r="M57" s="61"/>
      <c r="N57" s="61"/>
      <c r="O57" s="124"/>
      <c r="P57" s="61"/>
      <c r="Q57" s="61"/>
      <c r="R57" s="61"/>
      <c r="S57" s="144"/>
      <c r="T57" s="61"/>
      <c r="U57" s="165"/>
    </row>
    <row r="58" spans="1:706" s="1" customFormat="1" ht="23.45">
      <c r="A58" s="51" t="s">
        <v>70</v>
      </c>
      <c r="B58" s="102"/>
      <c r="C58" s="52"/>
      <c r="D58" s="52"/>
      <c r="E58" s="53"/>
      <c r="F58" s="127"/>
      <c r="G58" s="54"/>
      <c r="H58" s="52"/>
      <c r="I58" s="53"/>
      <c r="J58" s="147"/>
      <c r="K58" s="168"/>
      <c r="L58" s="54"/>
      <c r="M58" s="52"/>
      <c r="N58" s="53"/>
      <c r="O58" s="127"/>
      <c r="P58" s="54"/>
      <c r="Q58" s="52"/>
      <c r="R58" s="53"/>
      <c r="S58" s="147"/>
      <c r="T58" s="185"/>
      <c r="U58" s="204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</row>
    <row r="59" spans="1:706">
      <c r="A59" s="4" t="s">
        <v>71</v>
      </c>
      <c r="B59" s="107"/>
      <c r="C59" s="2"/>
      <c r="D59" s="2"/>
      <c r="E59"/>
      <c r="F59" s="119"/>
      <c r="G59" s="36"/>
      <c r="H59" s="2"/>
      <c r="I59" s="24"/>
      <c r="J59" s="139" t="e">
        <f>(#REF!+H59+I59)/3</f>
      </c>
      <c r="K59" s="160" t="e">
        <f t="shared" ref="K59:K71" si="44">(F59+J59)/2</f>
      </c>
      <c r="L59" s="34"/>
      <c r="M59" s="2"/>
      <c r="N59" s="24"/>
      <c r="O59" s="119">
        <f t="shared" ref="O59:O71" si="45">(L59+M59+N59)/3</f>
      </c>
      <c r="P59" s="34"/>
      <c r="Q59" s="2"/>
      <c r="R59" s="24"/>
      <c r="S59" s="139">
        <f t="shared" ref="S59:S71" si="46">(P59+Q59+R59)/3</f>
      </c>
      <c r="T59" s="178">
        <f t="shared" ref="T59:T71" si="47">(O59+S59)/2</f>
      </c>
      <c r="U59" s="197" t="e">
        <f t="shared" ref="U59:U71" si="48">(K59+T59)/2</f>
      </c>
    </row>
    <row r="60" spans="1:706" ht="15" thickBot="1">
      <c r="A60" s="17" t="s">
        <v>72</v>
      </c>
      <c r="B60" s="104"/>
      <c r="C60" s="18"/>
      <c r="D60" s="18"/>
      <c r="E60" s="24"/>
      <c r="F60" s="119" t="e">
        <f>(C60+D60+#REF!)/3</f>
      </c>
      <c r="H60" s="18"/>
      <c r="I60" s="26"/>
      <c r="J60" s="139">
        <f>(G59+H60+I60)/3</f>
      </c>
      <c r="K60" s="160" t="e">
        <f t="shared" si="44"/>
        <v>#REF!</v>
      </c>
      <c r="L60" s="36"/>
      <c r="M60" s="18"/>
      <c r="N60" s="26"/>
      <c r="O60" s="119">
        <f t="shared" si="45"/>
        <v>0</v>
      </c>
      <c r="P60" s="36"/>
      <c r="Q60" s="18"/>
      <c r="R60" s="26"/>
      <c r="S60" s="139">
        <f t="shared" si="46"/>
        <v>0</v>
      </c>
      <c r="T60" s="178">
        <f t="shared" si="47"/>
        <v>0</v>
      </c>
      <c r="U60" s="197" t="e">
        <f t="shared" si="48"/>
        <v>#REF!</v>
      </c>
    </row>
    <row r="61" spans="1:706" ht="15" thickBot="1">
      <c r="A61" s="56"/>
      <c r="B61" s="59"/>
      <c r="C61" s="57"/>
      <c r="D61" s="57"/>
      <c r="E61" s="58"/>
      <c r="F61" s="128"/>
      <c r="G61" s="62"/>
      <c r="H61" s="63"/>
      <c r="I61" s="64"/>
      <c r="J61" s="148"/>
      <c r="K61" s="169"/>
      <c r="L61" s="62"/>
      <c r="M61" s="63"/>
      <c r="N61" s="64"/>
      <c r="O61" s="128"/>
      <c r="P61" s="62"/>
      <c r="Q61" s="63"/>
      <c r="R61" s="64"/>
      <c r="S61" s="148"/>
      <c r="T61" s="186"/>
      <c r="U61" s="169"/>
    </row>
    <row r="62" spans="1:706" ht="25.9">
      <c r="A62" s="55" t="s">
        <v>73</v>
      </c>
      <c r="B62" s="103"/>
      <c r="C62" s="52"/>
      <c r="D62" s="52"/>
      <c r="E62" s="53"/>
      <c r="F62" s="125"/>
      <c r="G62" s="54"/>
      <c r="H62" s="52"/>
      <c r="I62" s="53"/>
      <c r="J62" s="145"/>
      <c r="K62" s="166"/>
      <c r="L62" s="54"/>
      <c r="M62" s="52"/>
      <c r="N62" s="53"/>
      <c r="O62" s="125"/>
      <c r="P62" s="54"/>
      <c r="Q62" s="52"/>
      <c r="R62" s="53"/>
      <c r="S62" s="145"/>
      <c r="T62" s="183"/>
      <c r="U62" s="202"/>
    </row>
    <row r="63" spans="1:706">
      <c r="A63" s="4" t="s">
        <v>74</v>
      </c>
      <c r="B63" s="107"/>
      <c r="C63" s="2"/>
      <c r="D63" s="2"/>
      <c r="E63" s="24"/>
      <c r="F63" s="119">
        <f t="shared" ref="F63:F71" si="49">(C63+D63+E63)/3</f>
      </c>
      <c r="G63" s="34"/>
      <c r="H63" s="2"/>
      <c r="I63" s="24"/>
      <c r="J63" s="139">
        <f t="shared" ref="J63:J71" si="50">(G63+H63+I63)/3</f>
      </c>
      <c r="K63" s="160">
        <f t="shared" si="44"/>
        <v>0</v>
      </c>
      <c r="L63" s="34"/>
      <c r="M63" s="2"/>
      <c r="N63" s="24"/>
      <c r="O63" s="119">
        <f t="shared" si="45"/>
        <v>0</v>
      </c>
      <c r="P63" s="34"/>
      <c r="Q63" s="2"/>
      <c r="R63" s="24"/>
      <c r="S63" s="139">
        <f t="shared" si="46"/>
        <v>0</v>
      </c>
      <c r="T63" s="178">
        <f t="shared" si="47"/>
        <v>0</v>
      </c>
      <c r="U63" s="197">
        <f t="shared" si="48"/>
        <v>0</v>
      </c>
    </row>
    <row r="64" spans="1:706">
      <c r="A64" s="4" t="s">
        <v>75</v>
      </c>
      <c r="B64" s="107"/>
      <c r="C64" s="2"/>
      <c r="D64" s="2"/>
      <c r="E64" s="24"/>
      <c r="F64" s="119">
        <f t="shared" si="49"/>
        <v>0</v>
      </c>
      <c r="G64" s="34"/>
      <c r="H64" s="2"/>
      <c r="I64" s="24"/>
      <c r="J64" s="139">
        <f t="shared" si="50"/>
        <v>0</v>
      </c>
      <c r="K64" s="160">
        <f t="shared" si="44"/>
        <v>0</v>
      </c>
      <c r="L64" s="34"/>
      <c r="M64" s="2"/>
      <c r="N64" s="24"/>
      <c r="O64" s="119">
        <f t="shared" si="45"/>
        <v>0</v>
      </c>
      <c r="P64" s="34"/>
      <c r="Q64" s="2"/>
      <c r="R64" s="24"/>
      <c r="S64" s="139">
        <f t="shared" si="46"/>
        <v>0</v>
      </c>
      <c r="T64" s="178">
        <f t="shared" si="47"/>
        <v>0</v>
      </c>
      <c r="U64" s="197">
        <f t="shared" si="48"/>
        <v>0</v>
      </c>
    </row>
    <row r="65" spans="1:706">
      <c r="A65" s="4" t="s">
        <v>76</v>
      </c>
      <c r="B65" s="107"/>
      <c r="C65" s="2"/>
      <c r="D65" s="2"/>
      <c r="E65" s="24"/>
      <c r="F65" s="119">
        <f t="shared" si="49"/>
        <v>0</v>
      </c>
      <c r="G65" s="34"/>
      <c r="H65" s="2"/>
      <c r="I65" s="24"/>
      <c r="J65" s="139">
        <f t="shared" si="50"/>
        <v>0</v>
      </c>
      <c r="K65" s="160">
        <f t="shared" si="44"/>
        <v>0</v>
      </c>
      <c r="L65" s="34"/>
      <c r="M65" s="2"/>
      <c r="N65" s="24"/>
      <c r="O65" s="119">
        <f t="shared" si="45"/>
        <v>0</v>
      </c>
      <c r="P65" s="34"/>
      <c r="Q65" s="2"/>
      <c r="R65" s="24"/>
      <c r="S65" s="139">
        <f t="shared" si="46"/>
        <v>0</v>
      </c>
      <c r="T65" s="178">
        <f t="shared" si="47"/>
        <v>0</v>
      </c>
      <c r="U65" s="197">
        <f t="shared" si="48"/>
        <v>0</v>
      </c>
    </row>
    <row r="66" spans="1:706">
      <c r="A66" s="17" t="s">
        <v>77</v>
      </c>
      <c r="B66" s="104"/>
      <c r="C66" s="42" t="e">
        <f>(C64+C65)/C63</f>
      </c>
      <c r="D66" s="42" t="e">
        <f>(D64+D65)/D63</f>
      </c>
      <c r="E66" s="43" t="e">
        <f t="shared" ref="E66:R66" si="51">(E64+E65)/E63</f>
      </c>
      <c r="F66" s="122" t="e">
        <f t="shared" si="49"/>
        <v>#DIV/0!</v>
      </c>
      <c r="G66" s="44" t="e">
        <f t="shared" si="51"/>
        <v>#DIV/0!</v>
      </c>
      <c r="H66" s="42" t="e">
        <f t="shared" si="51"/>
        <v>#DIV/0!</v>
      </c>
      <c r="I66" s="43" t="e">
        <f t="shared" si="51"/>
        <v>#DIV/0!</v>
      </c>
      <c r="J66" s="142" t="e">
        <f t="shared" si="50"/>
        <v>#DIV/0!</v>
      </c>
      <c r="K66" s="163" t="e">
        <f t="shared" si="44"/>
        <v>#DIV/0!</v>
      </c>
      <c r="L66" s="44" t="e">
        <f t="shared" si="51"/>
        <v>#DIV/0!</v>
      </c>
      <c r="M66" s="42" t="e">
        <f t="shared" si="51"/>
        <v>#DIV/0!</v>
      </c>
      <c r="N66" s="43" t="e">
        <f t="shared" si="51"/>
        <v>#DIV/0!</v>
      </c>
      <c r="O66" s="122" t="e">
        <f t="shared" si="45"/>
        <v>#DIV/0!</v>
      </c>
      <c r="P66" s="44" t="e">
        <f t="shared" si="51"/>
        <v>#DIV/0!</v>
      </c>
      <c r="Q66" s="42" t="e">
        <f t="shared" si="51"/>
        <v>#DIV/0!</v>
      </c>
      <c r="R66" s="43" t="e">
        <f t="shared" si="51"/>
        <v>#DIV/0!</v>
      </c>
      <c r="S66" s="142" t="e">
        <f t="shared" si="46"/>
        <v>#DIV/0!</v>
      </c>
      <c r="T66" s="181" t="e">
        <f t="shared" si="47"/>
        <v>#DIV/0!</v>
      </c>
      <c r="U66" s="200" t="e">
        <f t="shared" si="48"/>
        <v>#DIV/0!</v>
      </c>
    </row>
    <row r="67" spans="1:706">
      <c r="A67" s="65"/>
      <c r="B67" s="62"/>
      <c r="C67" s="63"/>
      <c r="D67" s="63"/>
      <c r="E67" s="64"/>
      <c r="F67" s="129"/>
      <c r="G67" s="62"/>
      <c r="H67" s="63"/>
      <c r="I67" s="64"/>
      <c r="J67" s="149"/>
      <c r="K67" s="169"/>
      <c r="L67" s="62"/>
      <c r="M67" s="63"/>
      <c r="N67" s="64"/>
      <c r="O67" s="129"/>
      <c r="P67" s="62"/>
      <c r="Q67" s="63"/>
      <c r="R67" s="64"/>
      <c r="S67" s="149"/>
      <c r="T67" s="187"/>
      <c r="U67" s="205"/>
    </row>
    <row r="68" spans="1:706">
      <c r="A68" s="45" t="s">
        <v>78</v>
      </c>
      <c r="B68" s="109"/>
      <c r="C68" s="45"/>
      <c r="D68" s="45"/>
      <c r="E68" s="46"/>
      <c r="F68" s="130">
        <f t="shared" si="49"/>
        <v>0</v>
      </c>
      <c r="G68" s="47"/>
      <c r="H68" s="45"/>
      <c r="I68" s="46"/>
      <c r="J68" s="150">
        <f t="shared" si="50"/>
        <v>0</v>
      </c>
      <c r="K68" s="166">
        <f t="shared" si="44"/>
        <v>0</v>
      </c>
      <c r="L68" s="47"/>
      <c r="M68" s="45"/>
      <c r="N68" s="46"/>
      <c r="O68" s="130">
        <f t="shared" si="45"/>
        <v>0</v>
      </c>
      <c r="P68" s="47"/>
      <c r="Q68" s="45"/>
      <c r="R68" s="46"/>
      <c r="S68" s="150">
        <f t="shared" si="46"/>
        <v>0</v>
      </c>
      <c r="T68" s="188">
        <f t="shared" si="47"/>
        <v>0</v>
      </c>
      <c r="U68" s="206">
        <f t="shared" si="48"/>
        <v>0</v>
      </c>
    </row>
    <row r="69" spans="1:706">
      <c r="A69" s="45" t="s">
        <v>79</v>
      </c>
      <c r="B69" s="109"/>
      <c r="C69" s="45"/>
      <c r="D69" s="45"/>
      <c r="E69" s="46"/>
      <c r="F69" s="130">
        <f t="shared" si="49"/>
        <v>0</v>
      </c>
      <c r="G69" s="47"/>
      <c r="H69" s="45"/>
      <c r="I69" s="46"/>
      <c r="J69" s="150">
        <f t="shared" si="50"/>
        <v>0</v>
      </c>
      <c r="K69" s="166">
        <f t="shared" si="44"/>
        <v>0</v>
      </c>
      <c r="L69" s="47"/>
      <c r="M69" s="45"/>
      <c r="N69" s="46"/>
      <c r="O69" s="130">
        <f t="shared" si="45"/>
        <v>0</v>
      </c>
      <c r="P69" s="47"/>
      <c r="Q69" s="45"/>
      <c r="R69" s="46"/>
      <c r="S69" s="150">
        <f t="shared" si="46"/>
        <v>0</v>
      </c>
      <c r="T69" s="188">
        <f t="shared" si="47"/>
        <v>0</v>
      </c>
      <c r="U69" s="206">
        <f t="shared" si="48"/>
        <v>0</v>
      </c>
    </row>
    <row r="70" spans="1:706">
      <c r="A70" s="45" t="s">
        <v>80</v>
      </c>
      <c r="B70" s="109"/>
      <c r="C70" s="45"/>
      <c r="D70" s="45"/>
      <c r="E70" s="46"/>
      <c r="F70" s="130">
        <f t="shared" si="49"/>
        <v>0</v>
      </c>
      <c r="G70" s="47"/>
      <c r="H70" s="45"/>
      <c r="I70" s="46"/>
      <c r="J70" s="150">
        <f t="shared" si="50"/>
        <v>0</v>
      </c>
      <c r="K70" s="166">
        <f t="shared" si="44"/>
        <v>0</v>
      </c>
      <c r="L70" s="47"/>
      <c r="M70" s="45"/>
      <c r="N70" s="46"/>
      <c r="O70" s="130">
        <f t="shared" si="45"/>
        <v>0</v>
      </c>
      <c r="P70" s="47"/>
      <c r="Q70" s="45"/>
      <c r="R70" s="46"/>
      <c r="S70" s="150">
        <f t="shared" si="46"/>
        <v>0</v>
      </c>
      <c r="T70" s="188">
        <f t="shared" si="47"/>
        <v>0</v>
      </c>
      <c r="U70" s="206">
        <f t="shared" si="48"/>
        <v>0</v>
      </c>
    </row>
    <row r="71" spans="1:706" ht="15" thickBot="1">
      <c r="A71" s="2" t="s">
        <v>81</v>
      </c>
      <c r="B71" s="110"/>
      <c r="C71" s="2"/>
      <c r="D71" s="2"/>
      <c r="E71" s="24"/>
      <c r="F71" s="125">
        <f t="shared" si="49"/>
        <v>0</v>
      </c>
      <c r="G71" s="34"/>
      <c r="H71" s="2"/>
      <c r="I71" s="24"/>
      <c r="J71" s="145">
        <f t="shared" si="50"/>
        <v>0</v>
      </c>
      <c r="K71" s="160">
        <f t="shared" si="44"/>
        <v>0</v>
      </c>
      <c r="L71" s="34"/>
      <c r="M71" s="2"/>
      <c r="N71" s="24"/>
      <c r="O71" s="125">
        <f t="shared" si="45"/>
        <v>0</v>
      </c>
      <c r="P71" s="34"/>
      <c r="Q71" s="2"/>
      <c r="R71" s="24"/>
      <c r="S71" s="145">
        <f t="shared" si="46"/>
        <v>0</v>
      </c>
      <c r="T71" s="183">
        <f t="shared" si="47"/>
        <v>0</v>
      </c>
      <c r="U71" s="202">
        <f t="shared" si="48"/>
        <v>0</v>
      </c>
    </row>
    <row r="72" spans="1:706" ht="15" thickBot="1">
      <c r="A72" s="60"/>
      <c r="B72" s="61"/>
      <c r="C72" s="61"/>
      <c r="D72" s="61"/>
      <c r="E72" s="61"/>
      <c r="F72" s="128"/>
      <c r="G72" s="66"/>
      <c r="H72" s="66"/>
      <c r="I72" s="66"/>
      <c r="J72" s="148"/>
      <c r="K72" s="169"/>
      <c r="L72" s="66"/>
      <c r="M72" s="66"/>
      <c r="N72" s="66"/>
      <c r="O72" s="128"/>
      <c r="P72" s="66"/>
      <c r="Q72" s="66"/>
      <c r="R72" s="66"/>
      <c r="S72" s="148"/>
      <c r="T72" s="186"/>
      <c r="U72" s="169"/>
    </row>
    <row r="73" spans="1:706" s="1" customFormat="1" ht="23.45">
      <c r="A73" s="51" t="s">
        <v>82</v>
      </c>
      <c r="B73" s="102"/>
      <c r="C73" s="52"/>
      <c r="D73" s="52"/>
      <c r="E73" s="53"/>
      <c r="F73" s="125"/>
      <c r="G73" s="54"/>
      <c r="H73" s="52"/>
      <c r="I73" s="53"/>
      <c r="J73" s="145"/>
      <c r="K73" s="166"/>
      <c r="L73" s="54"/>
      <c r="M73" s="52"/>
      <c r="N73" s="53"/>
      <c r="O73" s="125"/>
      <c r="P73" s="54"/>
      <c r="Q73" s="52"/>
      <c r="R73" s="53"/>
      <c r="S73" s="145"/>
      <c r="T73" s="183"/>
      <c r="U73" s="202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</row>
    <row r="74" spans="1:706">
      <c r="A74" s="4" t="s">
        <v>83</v>
      </c>
      <c r="B74" s="107"/>
      <c r="C74" s="2"/>
      <c r="D74" s="2"/>
      <c r="E74" s="24"/>
      <c r="F74" s="119">
        <f>(C74+D74+E74)</f>
      </c>
      <c r="G74" s="34"/>
      <c r="H74" s="2"/>
      <c r="I74" s="24"/>
      <c r="J74" s="139">
        <f>(G74+H74+I74)</f>
      </c>
      <c r="K74" s="160">
        <f>(F74+J74)</f>
      </c>
      <c r="L74" s="34"/>
      <c r="M74" s="2"/>
      <c r="N74" s="24"/>
      <c r="O74" s="119">
        <f>(L74+M74+N74)</f>
      </c>
      <c r="P74" s="34"/>
      <c r="Q74" s="2"/>
      <c r="R74" s="24"/>
      <c r="S74" s="139">
        <f>(P74+Q74+R74)</f>
      </c>
      <c r="T74" s="178">
        <f>(O74+S74)</f>
      </c>
      <c r="U74" s="197">
        <f>(K74+T74)</f>
      </c>
    </row>
    <row r="75" spans="1:706">
      <c r="A75" s="4" t="s">
        <v>84</v>
      </c>
      <c r="B75" s="107"/>
      <c r="C75" s="2"/>
      <c r="D75" s="2"/>
      <c r="E75" s="24"/>
      <c r="F75" s="119">
        <f t="shared" ref="F75:F76" si="52">(C75+D75+E75)</f>
      </c>
      <c r="G75" s="34"/>
      <c r="H75" s="2"/>
      <c r="I75" s="24"/>
      <c r="J75" s="139">
        <f t="shared" ref="J75:J76" si="53">(G75+H75+I75)</f>
      </c>
      <c r="K75" s="160">
        <f t="shared" ref="K75:K76" si="54">(F75+J75)</f>
      </c>
      <c r="L75" s="34"/>
      <c r="M75" s="2"/>
      <c r="N75" s="24"/>
      <c r="O75" s="119">
        <f t="shared" ref="O75:O76" si="55">(L75+M75+N75)</f>
      </c>
      <c r="P75" s="34"/>
      <c r="Q75" s="2"/>
      <c r="R75" s="24"/>
      <c r="S75" s="139">
        <f t="shared" ref="S75:S76" si="56">(P75+Q75+R75)</f>
      </c>
      <c r="T75" s="178">
        <f t="shared" ref="T75:T76" si="57">(O75+S75)</f>
      </c>
      <c r="U75" s="197">
        <f t="shared" ref="U75:U76" si="58">(K75+T75)</f>
      </c>
    </row>
    <row r="76" spans="1:706">
      <c r="A76" s="5" t="s">
        <v>85</v>
      </c>
      <c r="B76" s="105"/>
      <c r="C76" s="6"/>
      <c r="D76" s="6"/>
      <c r="E76" s="30"/>
      <c r="F76" s="131">
        <f t="shared" si="52"/>
      </c>
      <c r="G76" s="40"/>
      <c r="H76" s="6"/>
      <c r="I76" s="30"/>
      <c r="J76" s="151">
        <f t="shared" si="53"/>
      </c>
      <c r="K76" s="170">
        <f t="shared" si="54"/>
      </c>
      <c r="L76" s="40"/>
      <c r="M76" s="6"/>
      <c r="N76" s="30"/>
      <c r="O76" s="131">
        <f t="shared" si="55"/>
      </c>
      <c r="P76" s="40"/>
      <c r="Q76" s="6"/>
      <c r="R76" s="30"/>
      <c r="S76" s="151">
        <f t="shared" si="56"/>
      </c>
      <c r="T76" s="189">
        <f t="shared" si="57"/>
      </c>
      <c r="U76" s="207">
        <f t="shared" si="58"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A239-37DD-4347-BA61-17372D0A88EF}">
  <dimension ref="A1:M4"/>
  <sheetViews>
    <sheetView zoomScale="85" zoomScaleNormal="85" workbookViewId="0">
      <selection activeCell="K13" sqref="K13"/>
    </sheetView>
  </sheetViews>
  <sheetFormatPr defaultRowHeight="15" customHeight="1"/>
  <cols>
    <col min="1" max="1" width="23" customWidth="1"/>
    <col min="2" max="13" width="10.5703125" customWidth="1"/>
  </cols>
  <sheetData>
    <row r="1" spans="1:13" ht="23.45">
      <c r="A1" s="12" t="s">
        <v>86</v>
      </c>
    </row>
    <row r="2" spans="1:13" ht="14.45"/>
    <row r="3" spans="1:13" ht="14.45">
      <c r="A3" s="32" t="s">
        <v>87</v>
      </c>
      <c r="B3" s="9" t="s">
        <v>2</v>
      </c>
      <c r="C3" s="9" t="s">
        <v>3</v>
      </c>
      <c r="D3" s="9" t="s">
        <v>4</v>
      </c>
      <c r="E3" s="9" t="s">
        <v>6</v>
      </c>
      <c r="F3" s="9" t="s">
        <v>7</v>
      </c>
      <c r="G3" s="9" t="s">
        <v>8</v>
      </c>
      <c r="H3" s="9" t="s">
        <v>11</v>
      </c>
      <c r="I3" s="9" t="s">
        <v>12</v>
      </c>
      <c r="J3" s="9" t="s">
        <v>13</v>
      </c>
      <c r="K3" s="9" t="s">
        <v>15</v>
      </c>
      <c r="L3" s="9" t="s">
        <v>16</v>
      </c>
      <c r="M3" s="9" t="s">
        <v>17</v>
      </c>
    </row>
    <row r="4" spans="1:13" ht="14.45">
      <c r="A4" s="47"/>
      <c r="B4" s="13"/>
      <c r="C4" s="13"/>
      <c r="D4" s="13"/>
      <c r="E4" s="13"/>
      <c r="F4" s="13"/>
      <c r="G4" s="23"/>
      <c r="H4" s="33"/>
      <c r="I4" s="15"/>
      <c r="J4" s="23"/>
      <c r="K4" s="13"/>
      <c r="L4" s="13"/>
      <c r="M4" s="1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F7C8-783C-4562-AD5E-353312DBEA96}">
  <dimension ref="B2:Y22"/>
  <sheetViews>
    <sheetView workbookViewId="0">
      <selection activeCell="E11" sqref="E11"/>
    </sheetView>
  </sheetViews>
  <sheetFormatPr defaultRowHeight="14.45"/>
  <cols>
    <col min="4" max="4" width="10.5703125" bestFit="1" customWidth="1"/>
    <col min="5" max="5" width="11.140625" bestFit="1" customWidth="1"/>
    <col min="6" max="6" width="10" bestFit="1" customWidth="1"/>
    <col min="7" max="7" width="14.85546875" bestFit="1" customWidth="1"/>
    <col min="8" max="8" width="9.42578125" bestFit="1" customWidth="1"/>
    <col min="9" max="9" width="14.5703125" bestFit="1" customWidth="1"/>
    <col min="10" max="10" width="16.7109375" bestFit="1" customWidth="1"/>
    <col min="11" max="11" width="11.42578125" bestFit="1" customWidth="1"/>
    <col min="12" max="12" width="11" bestFit="1" customWidth="1"/>
    <col min="15" max="15" width="25.85546875" bestFit="1" customWidth="1"/>
    <col min="19" max="19" width="18.85546875" customWidth="1"/>
    <col min="21" max="21" width="17" bestFit="1" customWidth="1"/>
    <col min="25" max="25" width="18.5703125" customWidth="1"/>
  </cols>
  <sheetData>
    <row r="2" spans="2:25"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 spans="2:25">
      <c r="B3" s="74" t="s">
        <v>88</v>
      </c>
      <c r="C3" s="75" t="s">
        <v>89</v>
      </c>
      <c r="D3" s="75" t="s">
        <v>90</v>
      </c>
      <c r="E3" s="75" t="s">
        <v>91</v>
      </c>
      <c r="F3" s="75" t="s">
        <v>92</v>
      </c>
      <c r="G3" s="75" t="s">
        <v>93</v>
      </c>
      <c r="H3" s="75" t="s">
        <v>94</v>
      </c>
      <c r="I3" s="75" t="s">
        <v>95</v>
      </c>
      <c r="J3" s="75" t="s">
        <v>96</v>
      </c>
      <c r="K3" s="75" t="s">
        <v>97</v>
      </c>
      <c r="L3" s="75" t="s">
        <v>98</v>
      </c>
      <c r="M3" s="98" t="s">
        <v>99</v>
      </c>
      <c r="N3" s="73"/>
      <c r="O3" s="76" t="s">
        <v>100</v>
      </c>
      <c r="P3" s="77" t="s">
        <v>101</v>
      </c>
      <c r="Q3" s="77" t="s">
        <v>102</v>
      </c>
      <c r="R3" s="78" t="s">
        <v>103</v>
      </c>
      <c r="S3" s="79"/>
      <c r="T3" s="73"/>
      <c r="U3" s="76" t="s">
        <v>104</v>
      </c>
      <c r="V3" s="77" t="s">
        <v>101</v>
      </c>
      <c r="W3" s="77" t="s">
        <v>102</v>
      </c>
      <c r="X3" s="80" t="s">
        <v>105</v>
      </c>
      <c r="Y3" s="81" t="s">
        <v>105</v>
      </c>
    </row>
    <row r="4" spans="2:25">
      <c r="B4" s="82" t="s">
        <v>2</v>
      </c>
      <c r="C4" s="83"/>
      <c r="D4" s="95"/>
      <c r="E4" s="95"/>
      <c r="F4" s="95"/>
      <c r="G4" s="95"/>
      <c r="H4" s="95"/>
      <c r="I4" s="97">
        <f>(R13+X13+R22)/3</f>
      </c>
      <c r="J4" s="95"/>
      <c r="K4" s="95"/>
      <c r="L4" s="97">
        <f>(J4+K4)/2</f>
      </c>
      <c r="M4" s="99">
        <f>(I4+L4)/2</f>
      </c>
      <c r="N4" s="73"/>
      <c r="O4" s="84" t="s">
        <v>105</v>
      </c>
      <c r="P4" s="73"/>
      <c r="Q4" s="73"/>
      <c r="R4" s="73"/>
      <c r="S4" s="85" t="s">
        <v>105</v>
      </c>
      <c r="T4" s="73"/>
      <c r="U4" s="84" t="s">
        <v>105</v>
      </c>
      <c r="V4" s="73"/>
      <c r="W4" s="73"/>
      <c r="X4" s="73"/>
      <c r="Y4" s="85" t="s">
        <v>105</v>
      </c>
    </row>
    <row r="5" spans="2:2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84" t="s">
        <v>106</v>
      </c>
      <c r="P5" s="73">
        <v>100</v>
      </c>
      <c r="Q5" s="73"/>
      <c r="R5" s="86">
        <f>Q5/P5</f>
      </c>
      <c r="S5" s="85" t="s">
        <v>105</v>
      </c>
      <c r="T5" s="73"/>
      <c r="U5" s="84" t="s">
        <v>107</v>
      </c>
      <c r="V5" s="73">
        <v>6</v>
      </c>
      <c r="W5" s="73"/>
      <c r="X5" s="86">
        <f>W5/V5</f>
      </c>
      <c r="Y5" s="85" t="s">
        <v>105</v>
      </c>
    </row>
    <row r="6" spans="2:25">
      <c r="B6" s="73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84" t="s">
        <v>109</v>
      </c>
      <c r="P6" s="73">
        <v>15</v>
      </c>
      <c r="Q6" s="73"/>
      <c r="R6" s="86">
        <f t="shared" ref="R6:R9" si="0">Q6/P6</f>
      </c>
      <c r="S6" s="85" t="s">
        <v>105</v>
      </c>
      <c r="T6" s="73"/>
      <c r="U6" s="84" t="s">
        <v>110</v>
      </c>
      <c r="V6" s="73">
        <v>2</v>
      </c>
      <c r="W6" s="73"/>
      <c r="X6" s="86">
        <f>W6/V6</f>
      </c>
      <c r="Y6" s="85" t="s">
        <v>105</v>
      </c>
    </row>
    <row r="7" spans="2:25">
      <c r="B7" s="73" t="s">
        <v>111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84" t="s">
        <v>112</v>
      </c>
      <c r="P7" s="73">
        <v>8</v>
      </c>
      <c r="Q7" s="73"/>
      <c r="R7" s="86">
        <f t="shared" si="0"/>
        <v>0</v>
      </c>
      <c r="S7" s="85" t="s">
        <v>105</v>
      </c>
      <c r="T7" s="73"/>
      <c r="U7" s="84" t="s">
        <v>113</v>
      </c>
      <c r="V7" s="73">
        <v>2</v>
      </c>
      <c r="W7" s="73"/>
      <c r="X7" s="86">
        <f>W7/V7</f>
      </c>
      <c r="Y7" s="85" t="s">
        <v>105</v>
      </c>
    </row>
    <row r="8" spans="2:25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84" t="s">
        <v>114</v>
      </c>
      <c r="P8" s="73">
        <v>20</v>
      </c>
      <c r="Q8" s="73"/>
      <c r="R8" s="86">
        <f t="shared" si="0"/>
        <v>0</v>
      </c>
      <c r="S8" s="85" t="s">
        <v>105</v>
      </c>
      <c r="T8" s="73"/>
      <c r="U8" s="87"/>
      <c r="Y8" s="85" t="s">
        <v>105</v>
      </c>
    </row>
    <row r="9" spans="2:25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84" t="s">
        <v>115</v>
      </c>
      <c r="P9" s="73">
        <v>10</v>
      </c>
      <c r="Q9" s="73"/>
      <c r="R9" s="86">
        <f t="shared" si="0"/>
        <v>0</v>
      </c>
      <c r="S9" s="85" t="s">
        <v>105</v>
      </c>
      <c r="T9" s="73"/>
      <c r="U9" s="87"/>
      <c r="Y9" s="85" t="s">
        <v>105</v>
      </c>
    </row>
    <row r="10" spans="2:25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84"/>
      <c r="P10" s="73"/>
      <c r="Q10" s="73"/>
      <c r="S10" s="85" t="s">
        <v>105</v>
      </c>
      <c r="T10" s="73"/>
      <c r="U10" s="84" t="s">
        <v>105</v>
      </c>
      <c r="V10" s="73"/>
      <c r="W10" s="73"/>
      <c r="Y10" s="85" t="s">
        <v>105</v>
      </c>
    </row>
    <row r="11" spans="2:25"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84"/>
      <c r="P11" s="73"/>
      <c r="Q11" s="73"/>
      <c r="R11" s="73"/>
      <c r="S11" s="85" t="s">
        <v>105</v>
      </c>
      <c r="T11" s="73"/>
      <c r="U11" s="84" t="s">
        <v>105</v>
      </c>
      <c r="V11" s="73"/>
      <c r="W11" s="73"/>
      <c r="X11" s="73"/>
      <c r="Y11" s="85" t="s">
        <v>105</v>
      </c>
    </row>
    <row r="12" spans="2:25"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84"/>
      <c r="P12" s="73"/>
      <c r="Q12" s="73"/>
      <c r="R12" s="73"/>
      <c r="S12" s="85" t="s">
        <v>105</v>
      </c>
      <c r="T12" s="73"/>
      <c r="U12" s="84" t="s">
        <v>105</v>
      </c>
      <c r="V12" s="73"/>
      <c r="W12" s="73"/>
      <c r="X12" s="73"/>
      <c r="Y12" s="85" t="s">
        <v>105</v>
      </c>
    </row>
    <row r="13" spans="2:25" ht="57.6"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88" t="s">
        <v>99</v>
      </c>
      <c r="P13" s="89" t="s">
        <v>105</v>
      </c>
      <c r="Q13" s="89" t="s">
        <v>105</v>
      </c>
      <c r="R13" s="90">
        <f>(R5+R6+R7+R8+R9)/5</f>
      </c>
      <c r="S13" s="91" t="s">
        <v>116</v>
      </c>
      <c r="T13" s="73"/>
      <c r="U13" s="88" t="s">
        <v>99</v>
      </c>
      <c r="V13" s="89" t="s">
        <v>105</v>
      </c>
      <c r="W13" s="89" t="s">
        <v>105</v>
      </c>
      <c r="X13" s="90">
        <f>(X5+X6+X7)/3</f>
      </c>
      <c r="Y13" s="91" t="s">
        <v>116</v>
      </c>
    </row>
    <row r="14" spans="2:25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</row>
    <row r="15" spans="2:25"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6" t="s">
        <v>117</v>
      </c>
      <c r="P15" s="77" t="s">
        <v>101</v>
      </c>
      <c r="Q15" s="77" t="s">
        <v>102</v>
      </c>
      <c r="R15" s="80" t="s">
        <v>105</v>
      </c>
      <c r="S15" s="81" t="s">
        <v>105</v>
      </c>
      <c r="T15" s="73"/>
      <c r="U15" s="92" t="s">
        <v>93</v>
      </c>
      <c r="V15" s="93">
        <v>900</v>
      </c>
      <c r="W15" s="93"/>
      <c r="X15" s="96">
        <f>W15/V15</f>
      </c>
      <c r="Y15" s="73"/>
    </row>
    <row r="16" spans="2:25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84" t="s">
        <v>105</v>
      </c>
      <c r="P16" s="73"/>
      <c r="Q16" s="73"/>
      <c r="R16" s="73"/>
      <c r="S16" s="85" t="s">
        <v>105</v>
      </c>
      <c r="T16" s="73"/>
      <c r="U16" s="94"/>
      <c r="V16" s="73"/>
      <c r="W16" s="73"/>
      <c r="X16" s="73"/>
      <c r="Y16" s="73"/>
    </row>
    <row r="17" spans="2:25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84" t="s">
        <v>118</v>
      </c>
      <c r="P17" s="73">
        <v>100</v>
      </c>
      <c r="Q17" s="73"/>
      <c r="R17" s="86">
        <f>Q17/P17</f>
      </c>
      <c r="S17" s="85" t="s">
        <v>105</v>
      </c>
      <c r="T17" s="73"/>
      <c r="U17" s="92" t="s">
        <v>94</v>
      </c>
      <c r="V17" s="93">
        <v>1</v>
      </c>
      <c r="W17" s="93"/>
      <c r="X17" s="96">
        <f>W17/V17</f>
      </c>
      <c r="Y17" s="73"/>
    </row>
    <row r="18" spans="2:25"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84" t="s">
        <v>119</v>
      </c>
      <c r="P18" s="73">
        <v>100</v>
      </c>
      <c r="Q18" s="73"/>
      <c r="R18" s="86">
        <f t="shared" ref="R18:R20" si="1">Q18/P18</f>
      </c>
      <c r="S18" s="85" t="s">
        <v>105</v>
      </c>
      <c r="T18" s="73"/>
      <c r="U18" s="94"/>
      <c r="V18" s="73"/>
      <c r="W18" s="73"/>
      <c r="X18" s="73"/>
      <c r="Y18" s="73"/>
    </row>
    <row r="19" spans="2:25"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84" t="s">
        <v>120</v>
      </c>
      <c r="P19" s="73">
        <v>100</v>
      </c>
      <c r="Q19" s="73"/>
      <c r="R19" s="86">
        <f t="shared" si="1"/>
        <v>0</v>
      </c>
      <c r="S19" s="85" t="s">
        <v>105</v>
      </c>
      <c r="T19" s="73"/>
      <c r="U19" s="92" t="s">
        <v>96</v>
      </c>
      <c r="V19" s="93">
        <v>800</v>
      </c>
      <c r="W19" s="93"/>
      <c r="X19" s="96">
        <f>W19/V19</f>
      </c>
      <c r="Y19" s="73"/>
    </row>
    <row r="20" spans="2:25"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84" t="s">
        <v>121</v>
      </c>
      <c r="P20" s="73">
        <v>100</v>
      </c>
      <c r="Q20" s="73"/>
      <c r="R20" s="86">
        <f t="shared" si="1"/>
        <v>0</v>
      </c>
      <c r="S20" s="85" t="s">
        <v>105</v>
      </c>
      <c r="T20" s="73"/>
      <c r="U20" s="94"/>
      <c r="V20" s="73"/>
      <c r="W20" s="73"/>
      <c r="X20" s="73"/>
      <c r="Y20" s="73"/>
    </row>
    <row r="21" spans="2:25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84" t="s">
        <v>122</v>
      </c>
      <c r="P21" s="73">
        <v>100</v>
      </c>
      <c r="Q21" s="73"/>
      <c r="R21" s="86">
        <f>Q21/P21</f>
      </c>
      <c r="S21" s="85" t="s">
        <v>105</v>
      </c>
      <c r="T21" s="73"/>
      <c r="U21" s="92" t="s">
        <v>97</v>
      </c>
      <c r="V21" s="93">
        <v>3</v>
      </c>
      <c r="W21" s="93"/>
      <c r="X21" s="96">
        <f>W21/V21</f>
      </c>
      <c r="Y21" s="73"/>
    </row>
    <row r="22" spans="2:25" ht="57.6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88" t="s">
        <v>99</v>
      </c>
      <c r="P22" s="89" t="s">
        <v>105</v>
      </c>
      <c r="Q22" s="89" t="s">
        <v>105</v>
      </c>
      <c r="R22" s="90">
        <f>(R17+R18+R19+R20+R21)/5</f>
      </c>
      <c r="S22" s="91" t="s">
        <v>116</v>
      </c>
      <c r="T22" s="73"/>
      <c r="U22" s="73"/>
      <c r="V22" s="73"/>
      <c r="W22" s="73"/>
      <c r="X22" s="73"/>
      <c r="Y22" s="7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7809E25E7C5D49AA27F4BD0BBCF155" ma:contentTypeVersion="9" ma:contentTypeDescription="Create a new document." ma:contentTypeScope="" ma:versionID="460a52a3fe01582972b3da8327cb6fc5">
  <xsd:schema xmlns:xsd="http://www.w3.org/2001/XMLSchema" xmlns:xs="http://www.w3.org/2001/XMLSchema" xmlns:p="http://schemas.microsoft.com/office/2006/metadata/properties" xmlns:ns2="07c7d8a3-eba8-4d5e-ad95-2ad3bf518c15" xmlns:ns3="8c1fffe5-87b1-456a-a3c1-9313c04d0842" targetNamespace="http://schemas.microsoft.com/office/2006/metadata/properties" ma:root="true" ma:fieldsID="8e4ad43304ce93c86dcde13b67153812" ns2:_="" ns3:_="">
    <xsd:import namespace="07c7d8a3-eba8-4d5e-ad95-2ad3bf518c15"/>
    <xsd:import namespace="8c1fffe5-87b1-456a-a3c1-9313c04d0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d8a3-eba8-4d5e-ad95-2ad3bf518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60b723-4433-4144-aab7-7ac4934620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1fffe5-87b1-456a-a3c1-9313c04d08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c39a2b-73f7-4fa0-9578-d6a4438ef83d}" ma:internalName="TaxCatchAll" ma:showField="CatchAllData" ma:web="8c1fffe5-87b1-456a-a3c1-9313c04d0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c7d8a3-eba8-4d5e-ad95-2ad3bf518c15">
      <Terms xmlns="http://schemas.microsoft.com/office/infopath/2007/PartnerControls"/>
    </lcf76f155ced4ddcb4097134ff3c332f>
    <TaxCatchAll xmlns="8c1fffe5-87b1-456a-a3c1-9313c04d0842" xsi:nil="true"/>
  </documentManagement>
</p:properties>
</file>

<file path=customXml/itemProps1.xml><?xml version="1.0" encoding="utf-8"?>
<ds:datastoreItem xmlns:ds="http://schemas.openxmlformats.org/officeDocument/2006/customXml" ds:itemID="{E7F95ACA-E370-4745-B5DA-5CA8AF6FD63F}"/>
</file>

<file path=customXml/itemProps2.xml><?xml version="1.0" encoding="utf-8"?>
<ds:datastoreItem xmlns:ds="http://schemas.openxmlformats.org/officeDocument/2006/customXml" ds:itemID="{9B17445C-3085-4E74-9085-135687E494DB}"/>
</file>

<file path=customXml/itemProps3.xml><?xml version="1.0" encoding="utf-8"?>
<ds:datastoreItem xmlns:ds="http://schemas.openxmlformats.org/officeDocument/2006/customXml" ds:itemID="{3E01CCC5-E382-44DE-804F-F023FE81E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2024-03-04T08:58:26Z</dcterms:created>
  <dcterms:modified xsi:type="dcterms:W3CDTF">2026-10-02T07:57:53Z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0x0101006D7809E25E7C5D49AA27F4BD0BBCF155</vt:lpwstr>
  </property>
  <property fmtid="{D5CDD505-2E9C-101B-9397-08002B2CF9AE}" pid="3" name="MediaServiceImageTags">
    <vt:lpwstr/>
  </property>
</Properties>
</file>